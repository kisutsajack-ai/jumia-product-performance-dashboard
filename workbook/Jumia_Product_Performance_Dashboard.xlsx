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amba\Desktop\LuxDev Academy\Jumia Product Performance Dashboard Assignment\"/>
    </mc:Choice>
  </mc:AlternateContent>
  <xr:revisionPtr revIDLastSave="0" documentId="13_ncr:1_{BE4671C4-2D7D-4007-A958-3155D0B51714}" xr6:coauthVersionLast="47" xr6:coauthVersionMax="47" xr10:uidLastSave="{00000000-0000-0000-0000-000000000000}"/>
  <bookViews>
    <workbookView xWindow="-110" yWindow="-110" windowWidth="19420" windowHeight="10300" firstSheet="1" activeTab="5" xr2:uid="{23DC141D-F7B8-4258-85CE-E925F0C969ED}"/>
  </bookViews>
  <sheets>
    <sheet name="Raw_Data" sheetId="2" r:id="rId1"/>
    <sheet name="Cleaned_Data table" sheetId="3" r:id="rId2"/>
    <sheet name="Analysis" sheetId="6" r:id="rId3"/>
    <sheet name="Pivot Tables" sheetId="7" r:id="rId4"/>
    <sheet name="Data_Dictionary" sheetId="5" r:id="rId5"/>
    <sheet name="Dashboard" sheetId="10" r:id="rId6"/>
  </sheets>
  <definedNames>
    <definedName name="ExternalData_1" localSheetId="0" hidden="1">'Raw_Data'!$A$1:$F$116</definedName>
    <definedName name="ExternalData_2" localSheetId="1" hidden="1">'Cleaned_Data table'!$A$1:$Q$113</definedName>
    <definedName name="Price_Q1">Analysis!$B$2</definedName>
    <definedName name="Price_Q3">Analysis!$B$3</definedName>
    <definedName name="Review_P75">Analysis!$B$7</definedName>
    <definedName name="Slicer_Discount_Category">#N/A</definedName>
    <definedName name="Slicer_Price_Category">#N/A</definedName>
    <definedName name="Slicer_Rating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7" i="10" l="1"/>
  <c r="B111" i="6"/>
  <c r="B18" i="6"/>
  <c r="B17" i="6"/>
  <c r="S6" i="10"/>
  <c r="S5" i="10"/>
  <c r="S4" i="10"/>
  <c r="S3" i="10"/>
  <c r="F16" i="6"/>
  <c r="E16" i="6"/>
  <c r="D16" i="6"/>
  <c r="C16" i="6"/>
  <c r="B16" i="6"/>
  <c r="F15" i="6"/>
  <c r="E15" i="6"/>
  <c r="D15" i="6"/>
  <c r="C15" i="6"/>
  <c r="B15" i="6"/>
  <c r="F14" i="6"/>
  <c r="E14" i="6"/>
  <c r="D14" i="6"/>
  <c r="C14" i="6"/>
  <c r="B14" i="6"/>
  <c r="F13" i="6"/>
  <c r="E13" i="6"/>
  <c r="D13" i="6"/>
  <c r="C13" i="6"/>
  <c r="B13" i="6"/>
  <c r="F12" i="6"/>
  <c r="E12" i="6"/>
  <c r="D12" i="6"/>
  <c r="C12" i="6"/>
  <c r="B12" i="6"/>
  <c r="B7" i="6"/>
  <c r="K2" i="3" s="1"/>
  <c r="B3" i="6"/>
  <c r="B2" i="6"/>
  <c r="L113" i="3"/>
  <c r="K113" i="3"/>
  <c r="I113" i="3"/>
  <c r="H113" i="3"/>
  <c r="G113" i="3"/>
  <c r="I2" i="3"/>
  <c r="H2" i="3"/>
  <c r="G2" i="3"/>
  <c r="L111" i="3"/>
  <c r="K111" i="3"/>
  <c r="I111" i="3"/>
  <c r="H111" i="3"/>
  <c r="G111" i="3"/>
  <c r="L110" i="3"/>
  <c r="K110" i="3"/>
  <c r="I110" i="3"/>
  <c r="H110" i="3"/>
  <c r="G110" i="3"/>
  <c r="L109" i="3"/>
  <c r="K109" i="3"/>
  <c r="I109" i="3"/>
  <c r="H109" i="3"/>
  <c r="G109" i="3"/>
  <c r="L108" i="3"/>
  <c r="K108" i="3"/>
  <c r="I108" i="3"/>
  <c r="H108" i="3"/>
  <c r="G108" i="3"/>
  <c r="L107" i="3"/>
  <c r="K107" i="3"/>
  <c r="I107" i="3"/>
  <c r="H107" i="3"/>
  <c r="G107" i="3"/>
  <c r="L106" i="3"/>
  <c r="K106" i="3"/>
  <c r="I106" i="3"/>
  <c r="H106" i="3"/>
  <c r="G106" i="3"/>
  <c r="L105" i="3"/>
  <c r="K105" i="3"/>
  <c r="I105" i="3"/>
  <c r="H105" i="3"/>
  <c r="G105" i="3"/>
  <c r="L104" i="3"/>
  <c r="K104" i="3"/>
  <c r="I104" i="3"/>
  <c r="H104" i="3"/>
  <c r="G104" i="3"/>
  <c r="K112" i="3"/>
  <c r="I112" i="3"/>
  <c r="H112" i="3"/>
  <c r="G112" i="3"/>
  <c r="L102" i="3"/>
  <c r="K102" i="3"/>
  <c r="I102" i="3"/>
  <c r="H102" i="3"/>
  <c r="G102" i="3"/>
  <c r="L101" i="3"/>
  <c r="K101" i="3"/>
  <c r="I101" i="3"/>
  <c r="H101" i="3"/>
  <c r="G101" i="3"/>
  <c r="L100" i="3"/>
  <c r="K100" i="3"/>
  <c r="I100" i="3"/>
  <c r="H100" i="3"/>
  <c r="G100" i="3"/>
  <c r="L99" i="3"/>
  <c r="K99" i="3"/>
  <c r="I99" i="3"/>
  <c r="H99" i="3"/>
  <c r="G99" i="3"/>
  <c r="L98" i="3"/>
  <c r="K98" i="3"/>
  <c r="I98" i="3"/>
  <c r="H98" i="3"/>
  <c r="G98" i="3"/>
  <c r="L97" i="3"/>
  <c r="K97" i="3"/>
  <c r="I97" i="3"/>
  <c r="H97" i="3"/>
  <c r="G97" i="3"/>
  <c r="L96" i="3"/>
  <c r="K96" i="3"/>
  <c r="I96" i="3"/>
  <c r="H96" i="3"/>
  <c r="G96" i="3"/>
  <c r="L95" i="3"/>
  <c r="K95" i="3"/>
  <c r="I95" i="3"/>
  <c r="H95" i="3"/>
  <c r="G95" i="3"/>
  <c r="L94" i="3"/>
  <c r="K94" i="3"/>
  <c r="I94" i="3"/>
  <c r="H94" i="3"/>
  <c r="G94" i="3"/>
  <c r="L93" i="3"/>
  <c r="K93" i="3"/>
  <c r="I93" i="3"/>
  <c r="H93" i="3"/>
  <c r="G93" i="3"/>
  <c r="L92" i="3"/>
  <c r="K92" i="3"/>
  <c r="I92" i="3"/>
  <c r="H92" i="3"/>
  <c r="G92" i="3"/>
  <c r="L91" i="3"/>
  <c r="K91" i="3"/>
  <c r="I91" i="3"/>
  <c r="H91" i="3"/>
  <c r="G91" i="3"/>
  <c r="L90" i="3"/>
  <c r="K90" i="3"/>
  <c r="I90" i="3"/>
  <c r="H90" i="3"/>
  <c r="G90" i="3"/>
  <c r="L89" i="3"/>
  <c r="K89" i="3"/>
  <c r="I89" i="3"/>
  <c r="H89" i="3"/>
  <c r="G89" i="3"/>
  <c r="L88" i="3"/>
  <c r="K88" i="3"/>
  <c r="I88" i="3"/>
  <c r="H88" i="3"/>
  <c r="G88" i="3"/>
  <c r="L87" i="3"/>
  <c r="K87" i="3"/>
  <c r="I87" i="3"/>
  <c r="H87" i="3"/>
  <c r="G87" i="3"/>
  <c r="L86" i="3"/>
  <c r="K86" i="3"/>
  <c r="I86" i="3"/>
  <c r="H86" i="3"/>
  <c r="G86" i="3"/>
  <c r="L85" i="3"/>
  <c r="K85" i="3"/>
  <c r="I85" i="3"/>
  <c r="H85" i="3"/>
  <c r="G85" i="3"/>
  <c r="I27" i="3"/>
  <c r="H27" i="3"/>
  <c r="G27" i="3"/>
  <c r="L83" i="3"/>
  <c r="K83" i="3"/>
  <c r="I83" i="3"/>
  <c r="H83" i="3"/>
  <c r="G83" i="3"/>
  <c r="L82" i="3"/>
  <c r="K82" i="3"/>
  <c r="I82" i="3"/>
  <c r="H82" i="3"/>
  <c r="G82" i="3"/>
  <c r="I103" i="3"/>
  <c r="H103" i="3"/>
  <c r="G103" i="3"/>
  <c r="I18" i="3"/>
  <c r="H18" i="3"/>
  <c r="G18" i="3"/>
  <c r="L79" i="3"/>
  <c r="K79" i="3"/>
  <c r="I79" i="3"/>
  <c r="H79" i="3"/>
  <c r="G79" i="3"/>
  <c r="L78" i="3"/>
  <c r="K78" i="3"/>
  <c r="I78" i="3"/>
  <c r="H78" i="3"/>
  <c r="G78" i="3"/>
  <c r="L77" i="3"/>
  <c r="K77" i="3"/>
  <c r="I77" i="3"/>
  <c r="H77" i="3"/>
  <c r="G77" i="3"/>
  <c r="L76" i="3"/>
  <c r="K76" i="3"/>
  <c r="I76" i="3"/>
  <c r="H76" i="3"/>
  <c r="G76" i="3"/>
  <c r="I4" i="3"/>
  <c r="H4" i="3"/>
  <c r="G4" i="3"/>
  <c r="I6" i="3"/>
  <c r="H6" i="3"/>
  <c r="G6" i="3"/>
  <c r="I17" i="3"/>
  <c r="H17" i="3"/>
  <c r="G17" i="3"/>
  <c r="I8" i="3"/>
  <c r="H8" i="3"/>
  <c r="G8" i="3"/>
  <c r="I16" i="3"/>
  <c r="H16" i="3"/>
  <c r="G16" i="3"/>
  <c r="I10" i="3"/>
  <c r="H10" i="3"/>
  <c r="G10" i="3"/>
  <c r="I15" i="3"/>
  <c r="H15" i="3"/>
  <c r="G15" i="3"/>
  <c r="I7" i="3"/>
  <c r="H7" i="3"/>
  <c r="G7" i="3"/>
  <c r="I5" i="3"/>
  <c r="H5" i="3"/>
  <c r="G5" i="3"/>
  <c r="I13" i="3"/>
  <c r="H13" i="3"/>
  <c r="G13" i="3"/>
  <c r="I11" i="3"/>
  <c r="H11" i="3"/>
  <c r="G11" i="3"/>
  <c r="I12" i="3"/>
  <c r="H12" i="3"/>
  <c r="G12" i="3"/>
  <c r="I3" i="3"/>
  <c r="H3" i="3"/>
  <c r="G3" i="3"/>
  <c r="I14" i="3"/>
  <c r="H14" i="3"/>
  <c r="G14" i="3"/>
  <c r="I9" i="3"/>
  <c r="H9" i="3"/>
  <c r="G9" i="3"/>
  <c r="L60" i="3"/>
  <c r="K60" i="3"/>
  <c r="I60" i="3"/>
  <c r="H60" i="3"/>
  <c r="G60" i="3"/>
  <c r="L59" i="3"/>
  <c r="K59" i="3"/>
  <c r="I59" i="3"/>
  <c r="H59" i="3"/>
  <c r="G59" i="3"/>
  <c r="L58" i="3"/>
  <c r="K58" i="3"/>
  <c r="I58" i="3"/>
  <c r="H58" i="3"/>
  <c r="G58" i="3"/>
  <c r="L57" i="3"/>
  <c r="K57" i="3"/>
  <c r="I57" i="3"/>
  <c r="H57" i="3"/>
  <c r="G57" i="3"/>
  <c r="L56" i="3"/>
  <c r="K56" i="3"/>
  <c r="I56" i="3"/>
  <c r="H56" i="3"/>
  <c r="G56" i="3"/>
  <c r="L55" i="3"/>
  <c r="K55" i="3"/>
  <c r="I55" i="3"/>
  <c r="H55" i="3"/>
  <c r="G55" i="3"/>
  <c r="L54" i="3"/>
  <c r="K54" i="3"/>
  <c r="I54" i="3"/>
  <c r="H54" i="3"/>
  <c r="G54" i="3"/>
  <c r="L53" i="3"/>
  <c r="K53" i="3"/>
  <c r="I53" i="3"/>
  <c r="H53" i="3"/>
  <c r="G53" i="3"/>
  <c r="L52" i="3"/>
  <c r="K52" i="3"/>
  <c r="I52" i="3"/>
  <c r="H52" i="3"/>
  <c r="G52" i="3"/>
  <c r="L51" i="3"/>
  <c r="K51" i="3"/>
  <c r="I51" i="3"/>
  <c r="H51" i="3"/>
  <c r="G51" i="3"/>
  <c r="L50" i="3"/>
  <c r="K50" i="3"/>
  <c r="I50" i="3"/>
  <c r="H50" i="3"/>
  <c r="G50" i="3"/>
  <c r="L49" i="3"/>
  <c r="K49" i="3"/>
  <c r="I49" i="3"/>
  <c r="H49" i="3"/>
  <c r="G49" i="3"/>
  <c r="L48" i="3"/>
  <c r="K48" i="3"/>
  <c r="I48" i="3"/>
  <c r="H48" i="3"/>
  <c r="G48" i="3"/>
  <c r="L47" i="3"/>
  <c r="K47" i="3"/>
  <c r="I47" i="3"/>
  <c r="H47" i="3"/>
  <c r="G47" i="3"/>
  <c r="L46" i="3"/>
  <c r="K46" i="3"/>
  <c r="I46" i="3"/>
  <c r="H46" i="3"/>
  <c r="G46" i="3"/>
  <c r="L45" i="3"/>
  <c r="K45" i="3"/>
  <c r="I45" i="3"/>
  <c r="H45" i="3"/>
  <c r="G45" i="3"/>
  <c r="L44" i="3"/>
  <c r="K44" i="3"/>
  <c r="I44" i="3"/>
  <c r="H44" i="3"/>
  <c r="G44" i="3"/>
  <c r="L43" i="3"/>
  <c r="K43" i="3"/>
  <c r="I43" i="3"/>
  <c r="H43" i="3"/>
  <c r="G43" i="3"/>
  <c r="L42" i="3"/>
  <c r="K42" i="3"/>
  <c r="I42" i="3"/>
  <c r="H42" i="3"/>
  <c r="G42" i="3"/>
  <c r="L41" i="3"/>
  <c r="K41" i="3"/>
  <c r="I41" i="3"/>
  <c r="H41" i="3"/>
  <c r="G41" i="3"/>
  <c r="I61" i="3"/>
  <c r="H61" i="3"/>
  <c r="G61" i="3"/>
  <c r="I36" i="3"/>
  <c r="H36" i="3"/>
  <c r="G36" i="3"/>
  <c r="I84" i="3"/>
  <c r="H84" i="3"/>
  <c r="G84" i="3"/>
  <c r="I81" i="3"/>
  <c r="H81" i="3"/>
  <c r="G81" i="3"/>
  <c r="I40" i="3"/>
  <c r="H40" i="3"/>
  <c r="G40" i="3"/>
  <c r="I70" i="3"/>
  <c r="H70" i="3"/>
  <c r="G70" i="3"/>
  <c r="I35" i="3"/>
  <c r="H35" i="3"/>
  <c r="G35" i="3"/>
  <c r="I69" i="3"/>
  <c r="H69" i="3"/>
  <c r="G69" i="3"/>
  <c r="I34" i="3"/>
  <c r="H34" i="3"/>
  <c r="G34" i="3"/>
  <c r="L31" i="3"/>
  <c r="K31" i="3"/>
  <c r="I31" i="3"/>
  <c r="H31" i="3"/>
  <c r="G31" i="3"/>
  <c r="I30" i="3"/>
  <c r="H30" i="3"/>
  <c r="G30" i="3"/>
  <c r="I22" i="3"/>
  <c r="H22" i="3"/>
  <c r="G22" i="3"/>
  <c r="I21" i="3"/>
  <c r="H21" i="3"/>
  <c r="G21" i="3"/>
  <c r="I66" i="3"/>
  <c r="H66" i="3"/>
  <c r="G66" i="3"/>
  <c r="I33" i="3"/>
  <c r="H33" i="3"/>
  <c r="G33" i="3"/>
  <c r="I37" i="3"/>
  <c r="H37" i="3"/>
  <c r="G37" i="3"/>
  <c r="I26" i="3"/>
  <c r="H26" i="3"/>
  <c r="G26" i="3"/>
  <c r="L23" i="3"/>
  <c r="K23" i="3"/>
  <c r="I23" i="3"/>
  <c r="H23" i="3"/>
  <c r="G23" i="3"/>
  <c r="I19" i="3"/>
  <c r="H19" i="3"/>
  <c r="G19" i="3"/>
  <c r="I65" i="3"/>
  <c r="H65" i="3"/>
  <c r="G65" i="3"/>
  <c r="I64" i="3"/>
  <c r="H64" i="3"/>
  <c r="G64" i="3"/>
  <c r="I80" i="3"/>
  <c r="H80" i="3"/>
  <c r="G80" i="3"/>
  <c r="I75" i="3"/>
  <c r="H75" i="3"/>
  <c r="G75" i="3"/>
  <c r="I74" i="3"/>
  <c r="H74" i="3"/>
  <c r="G74" i="3"/>
  <c r="I32" i="3"/>
  <c r="H32" i="3"/>
  <c r="G32" i="3"/>
  <c r="I39" i="3"/>
  <c r="H39" i="3"/>
  <c r="G39" i="3"/>
  <c r="I73" i="3"/>
  <c r="H73" i="3"/>
  <c r="G73" i="3"/>
  <c r="I68" i="3"/>
  <c r="H68" i="3"/>
  <c r="G68" i="3"/>
  <c r="I29" i="3"/>
  <c r="H29" i="3"/>
  <c r="G29" i="3"/>
  <c r="I20" i="3"/>
  <c r="H20" i="3"/>
  <c r="G20" i="3"/>
  <c r="I72" i="3"/>
  <c r="H72" i="3"/>
  <c r="G72" i="3"/>
  <c r="I25" i="3"/>
  <c r="H25" i="3"/>
  <c r="G25" i="3"/>
  <c r="I63" i="3"/>
  <c r="H63" i="3"/>
  <c r="G63" i="3"/>
  <c r="I24" i="3"/>
  <c r="H24" i="3"/>
  <c r="G24" i="3"/>
  <c r="I71" i="3"/>
  <c r="H71" i="3"/>
  <c r="G71" i="3"/>
  <c r="I67" i="3"/>
  <c r="H67" i="3"/>
  <c r="G67" i="3"/>
  <c r="I62" i="3"/>
  <c r="H62" i="3"/>
  <c r="G62" i="3"/>
  <c r="I28" i="3"/>
  <c r="H28" i="3"/>
  <c r="G28" i="3"/>
  <c r="I38" i="3"/>
  <c r="H38" i="3"/>
  <c r="G38" i="3"/>
  <c r="J104" i="3" l="1"/>
  <c r="J101" i="3"/>
  <c r="J98" i="3"/>
  <c r="J94" i="3"/>
  <c r="J106" i="3"/>
  <c r="J112" i="3"/>
  <c r="J102" i="3"/>
  <c r="J99" i="3"/>
  <c r="J105" i="3"/>
  <c r="J100" i="3"/>
  <c r="J97" i="3"/>
  <c r="J96" i="3"/>
  <c r="J95" i="3"/>
  <c r="J108" i="3"/>
  <c r="J107" i="3"/>
  <c r="J109" i="3"/>
  <c r="J111" i="3"/>
  <c r="J110" i="3"/>
  <c r="K6" i="3"/>
  <c r="K17" i="3"/>
  <c r="K8" i="3"/>
  <c r="K16" i="3"/>
  <c r="K10" i="3"/>
  <c r="K15" i="3"/>
  <c r="K7" i="3"/>
  <c r="J2" i="3"/>
  <c r="J17" i="3"/>
  <c r="J8" i="3"/>
  <c r="J16" i="3"/>
  <c r="J10" i="3"/>
  <c r="J15" i="3"/>
  <c r="J7" i="3"/>
  <c r="O41" i="3"/>
  <c r="N41" i="3"/>
  <c r="M41" i="3"/>
  <c r="P41" i="3"/>
  <c r="O39" i="3"/>
  <c r="N39" i="3"/>
  <c r="K28" i="3"/>
  <c r="K33" i="3"/>
  <c r="K66" i="3"/>
  <c r="K5" i="3"/>
  <c r="K11" i="3"/>
  <c r="K19" i="3"/>
  <c r="K9" i="3"/>
  <c r="K13" i="3"/>
  <c r="K81" i="3"/>
  <c r="K71" i="3"/>
  <c r="K30" i="3"/>
  <c r="K67" i="3"/>
  <c r="K40" i="3"/>
  <c r="K14" i="3"/>
  <c r="K69" i="3"/>
  <c r="K62" i="3"/>
  <c r="K21" i="3"/>
  <c r="K36" i="3"/>
  <c r="K34" i="3"/>
  <c r="K84" i="3"/>
  <c r="K3" i="3"/>
  <c r="K38" i="3"/>
  <c r="K70" i="3"/>
  <c r="K22" i="3"/>
  <c r="K12" i="3"/>
  <c r="K35" i="3"/>
  <c r="K61" i="3"/>
  <c r="K37" i="3"/>
  <c r="K27" i="3"/>
  <c r="P27" i="3" s="1"/>
  <c r="K26" i="3"/>
  <c r="K65" i="3"/>
  <c r="K64" i="3"/>
  <c r="K80" i="3"/>
  <c r="K103" i="3"/>
  <c r="P103" i="3" s="1"/>
  <c r="K75" i="3"/>
  <c r="K74" i="3"/>
  <c r="K18" i="3"/>
  <c r="K25" i="3"/>
  <c r="K24" i="3"/>
  <c r="K32" i="3"/>
  <c r="K39" i="3"/>
  <c r="K73" i="3"/>
  <c r="K68" i="3"/>
  <c r="K63" i="3"/>
  <c r="K29" i="3"/>
  <c r="K4" i="3"/>
  <c r="K20" i="3"/>
  <c r="K72" i="3"/>
  <c r="J42" i="3"/>
  <c r="J84" i="3"/>
  <c r="J35" i="3"/>
  <c r="J91" i="3"/>
  <c r="J81" i="3"/>
  <c r="J43" i="3"/>
  <c r="J90" i="3"/>
  <c r="J40" i="3"/>
  <c r="J70" i="3"/>
  <c r="J44" i="3"/>
  <c r="J69" i="3"/>
  <c r="J88" i="3"/>
  <c r="J45" i="3"/>
  <c r="J34" i="3"/>
  <c r="J31" i="3"/>
  <c r="J87" i="3"/>
  <c r="J30" i="3"/>
  <c r="J46" i="3"/>
  <c r="J22" i="3"/>
  <c r="J86" i="3"/>
  <c r="J89" i="3"/>
  <c r="J47" i="3"/>
  <c r="J85" i="3"/>
  <c r="J66" i="3"/>
  <c r="J33" i="3"/>
  <c r="J48" i="3"/>
  <c r="J25" i="3"/>
  <c r="J113" i="3"/>
  <c r="J27" i="3"/>
  <c r="J37" i="3"/>
  <c r="J9" i="3"/>
  <c r="J26" i="3"/>
  <c r="J49" i="3"/>
  <c r="J83" i="3"/>
  <c r="J23" i="3"/>
  <c r="J21" i="3"/>
  <c r="J19" i="3"/>
  <c r="J63" i="3"/>
  <c r="J82" i="3"/>
  <c r="J50" i="3"/>
  <c r="J65" i="3"/>
  <c r="J24" i="3"/>
  <c r="J64" i="3"/>
  <c r="J71" i="3"/>
  <c r="J14" i="3"/>
  <c r="J103" i="3"/>
  <c r="J51" i="3"/>
  <c r="J80" i="3"/>
  <c r="J67" i="3"/>
  <c r="J75" i="3"/>
  <c r="J62" i="3"/>
  <c r="J28" i="3"/>
  <c r="J3" i="3"/>
  <c r="J52" i="3"/>
  <c r="J74" i="3"/>
  <c r="J38" i="3"/>
  <c r="J12" i="3"/>
  <c r="J79" i="3"/>
  <c r="J32" i="3"/>
  <c r="J53" i="3"/>
  <c r="J54" i="3"/>
  <c r="J55" i="3"/>
  <c r="J78" i="3"/>
  <c r="J56" i="3"/>
  <c r="J57" i="3"/>
  <c r="J11" i="3"/>
  <c r="J39" i="3"/>
  <c r="J77" i="3"/>
  <c r="J13" i="3"/>
  <c r="J18" i="3"/>
  <c r="J73" i="3"/>
  <c r="J93" i="3"/>
  <c r="J76" i="3"/>
  <c r="J61" i="3"/>
  <c r="J68" i="3"/>
  <c r="J41" i="3"/>
  <c r="J59" i="3"/>
  <c r="J29" i="3"/>
  <c r="J5" i="3"/>
  <c r="J4" i="3"/>
  <c r="J36" i="3"/>
  <c r="J20" i="3"/>
  <c r="J92" i="3"/>
  <c r="J60" i="3"/>
  <c r="J72" i="3"/>
  <c r="J6" i="3"/>
  <c r="J58" i="3"/>
  <c r="O113" i="3"/>
  <c r="N113" i="3"/>
  <c r="M113" i="3"/>
  <c r="P113" i="3"/>
  <c r="O2" i="3"/>
  <c r="N2" i="3"/>
  <c r="M2" i="3"/>
  <c r="L2" i="3"/>
  <c r="P2" i="3"/>
  <c r="O111" i="3"/>
  <c r="N111" i="3"/>
  <c r="P111" i="3"/>
  <c r="M111" i="3"/>
  <c r="N110" i="3"/>
  <c r="O110" i="3"/>
  <c r="P110" i="3"/>
  <c r="M110" i="3"/>
  <c r="O109" i="3"/>
  <c r="N109" i="3"/>
  <c r="P109" i="3"/>
  <c r="M109" i="3"/>
  <c r="O108" i="3"/>
  <c r="N108" i="3"/>
  <c r="M108" i="3"/>
  <c r="P108" i="3"/>
  <c r="N107" i="3"/>
  <c r="O107" i="3"/>
  <c r="M107" i="3"/>
  <c r="P107" i="3"/>
  <c r="N106" i="3"/>
  <c r="O106" i="3"/>
  <c r="M106" i="3"/>
  <c r="P106" i="3"/>
  <c r="N105" i="3"/>
  <c r="O105" i="3"/>
  <c r="M105" i="3"/>
  <c r="P105" i="3"/>
  <c r="O104" i="3"/>
  <c r="N104" i="3"/>
  <c r="P104" i="3"/>
  <c r="M104" i="3"/>
  <c r="N112" i="3"/>
  <c r="O112" i="3"/>
  <c r="P112" i="3"/>
  <c r="M112" i="3"/>
  <c r="L112" i="3"/>
  <c r="O102" i="3"/>
  <c r="N102" i="3"/>
  <c r="P102" i="3"/>
  <c r="M102" i="3"/>
  <c r="N101" i="3"/>
  <c r="O101" i="3"/>
  <c r="P101" i="3"/>
  <c r="M101" i="3"/>
  <c r="O100" i="3"/>
  <c r="N100" i="3"/>
  <c r="M100" i="3"/>
  <c r="P100" i="3"/>
  <c r="N99" i="3"/>
  <c r="O99" i="3"/>
  <c r="P99" i="3"/>
  <c r="M99" i="3"/>
  <c r="O98" i="3"/>
  <c r="N98" i="3"/>
  <c r="M98" i="3"/>
  <c r="P98" i="3"/>
  <c r="N97" i="3"/>
  <c r="O97" i="3"/>
  <c r="P97" i="3"/>
  <c r="M97" i="3"/>
  <c r="N96" i="3"/>
  <c r="O96" i="3"/>
  <c r="M96" i="3"/>
  <c r="P96" i="3"/>
  <c r="O95" i="3"/>
  <c r="N95" i="3"/>
  <c r="M95" i="3"/>
  <c r="P95" i="3"/>
  <c r="O94" i="3"/>
  <c r="N94" i="3"/>
  <c r="P94" i="3"/>
  <c r="M94" i="3"/>
  <c r="N93" i="3"/>
  <c r="O93" i="3"/>
  <c r="P93" i="3"/>
  <c r="M93" i="3"/>
  <c r="O92" i="3"/>
  <c r="N92" i="3"/>
  <c r="M92" i="3"/>
  <c r="P92" i="3"/>
  <c r="N91" i="3"/>
  <c r="O91" i="3"/>
  <c r="M91" i="3"/>
  <c r="P91" i="3"/>
  <c r="N90" i="3"/>
  <c r="O90" i="3"/>
  <c r="M90" i="3"/>
  <c r="P90" i="3"/>
  <c r="N89" i="3"/>
  <c r="O89" i="3"/>
  <c r="P89" i="3"/>
  <c r="M89" i="3"/>
  <c r="O88" i="3"/>
  <c r="N88" i="3"/>
  <c r="P88" i="3"/>
  <c r="M88" i="3"/>
  <c r="N87" i="3"/>
  <c r="O87" i="3"/>
  <c r="P87" i="3"/>
  <c r="M87" i="3"/>
  <c r="O86" i="3"/>
  <c r="N86" i="3"/>
  <c r="M86" i="3"/>
  <c r="P86" i="3"/>
  <c r="N85" i="3"/>
  <c r="O85" i="3"/>
  <c r="P85" i="3"/>
  <c r="M85" i="3"/>
  <c r="O27" i="3"/>
  <c r="N27" i="3"/>
  <c r="N83" i="3"/>
  <c r="O83" i="3"/>
  <c r="P83" i="3"/>
  <c r="M83" i="3"/>
  <c r="O82" i="3"/>
  <c r="N82" i="3"/>
  <c r="P82" i="3"/>
  <c r="M82" i="3"/>
  <c r="O103" i="3"/>
  <c r="N103" i="3"/>
  <c r="N18" i="3"/>
  <c r="O18" i="3"/>
  <c r="N79" i="3"/>
  <c r="O79" i="3"/>
  <c r="M79" i="3"/>
  <c r="P79" i="3"/>
  <c r="N78" i="3"/>
  <c r="O78" i="3"/>
  <c r="P78" i="3"/>
  <c r="M78" i="3"/>
  <c r="O77" i="3"/>
  <c r="N77" i="3"/>
  <c r="P77" i="3"/>
  <c r="M77" i="3"/>
  <c r="O76" i="3"/>
  <c r="N76" i="3"/>
  <c r="P76" i="3"/>
  <c r="M76" i="3"/>
  <c r="N4" i="3"/>
  <c r="O4" i="3"/>
  <c r="O6" i="3"/>
  <c r="N6" i="3"/>
  <c r="O17" i="3"/>
  <c r="N17" i="3"/>
  <c r="O8" i="3"/>
  <c r="N8" i="3"/>
  <c r="O16" i="3"/>
  <c r="N16" i="3"/>
  <c r="O10" i="3"/>
  <c r="N10" i="3"/>
  <c r="N15" i="3"/>
  <c r="O15" i="3"/>
  <c r="N7" i="3"/>
  <c r="O7" i="3"/>
  <c r="O5" i="3"/>
  <c r="N5" i="3"/>
  <c r="O13" i="3"/>
  <c r="N13" i="3"/>
  <c r="O11" i="3"/>
  <c r="N11" i="3"/>
  <c r="O12" i="3"/>
  <c r="N12" i="3"/>
  <c r="N3" i="3"/>
  <c r="O3" i="3"/>
  <c r="O14" i="3"/>
  <c r="N14" i="3"/>
  <c r="O9" i="3"/>
  <c r="N9" i="3"/>
  <c r="O60" i="3"/>
  <c r="N60" i="3"/>
  <c r="P60" i="3"/>
  <c r="M60" i="3"/>
  <c r="N59" i="3"/>
  <c r="O59" i="3"/>
  <c r="M59" i="3"/>
  <c r="P59" i="3"/>
  <c r="N58" i="3"/>
  <c r="O58" i="3"/>
  <c r="M58" i="3"/>
  <c r="P58" i="3"/>
  <c r="N57" i="3"/>
  <c r="O57" i="3"/>
  <c r="M57" i="3"/>
  <c r="P57" i="3"/>
  <c r="N56" i="3"/>
  <c r="O56" i="3"/>
  <c r="P56" i="3"/>
  <c r="M56" i="3"/>
  <c r="O55" i="3"/>
  <c r="N55" i="3"/>
  <c r="P55" i="3"/>
  <c r="M55" i="3"/>
  <c r="O54" i="3"/>
  <c r="N54" i="3"/>
  <c r="P54" i="3"/>
  <c r="M54" i="3"/>
  <c r="O53" i="3"/>
  <c r="N53" i="3"/>
  <c r="M53" i="3"/>
  <c r="P53" i="3"/>
  <c r="N52" i="3"/>
  <c r="O52" i="3"/>
  <c r="M52" i="3"/>
  <c r="P52" i="3"/>
  <c r="N51" i="3"/>
  <c r="O51" i="3"/>
  <c r="P51" i="3"/>
  <c r="M51" i="3"/>
  <c r="O50" i="3"/>
  <c r="N50" i="3"/>
  <c r="M50" i="3"/>
  <c r="P50" i="3"/>
  <c r="O49" i="3"/>
  <c r="N49" i="3"/>
  <c r="M49" i="3"/>
  <c r="P49" i="3"/>
  <c r="N48" i="3"/>
  <c r="O48" i="3"/>
  <c r="M48" i="3"/>
  <c r="P48" i="3"/>
  <c r="O47" i="3"/>
  <c r="N47" i="3"/>
  <c r="M47" i="3"/>
  <c r="P47" i="3"/>
  <c r="O46" i="3"/>
  <c r="N46" i="3"/>
  <c r="P46" i="3"/>
  <c r="M46" i="3"/>
  <c r="N45" i="3"/>
  <c r="O45" i="3"/>
  <c r="P45" i="3"/>
  <c r="M45" i="3"/>
  <c r="N44" i="3"/>
  <c r="O44" i="3"/>
  <c r="P44" i="3"/>
  <c r="M44" i="3"/>
  <c r="N43" i="3"/>
  <c r="O43" i="3"/>
  <c r="P43" i="3"/>
  <c r="M43" i="3"/>
  <c r="N42" i="3"/>
  <c r="O42" i="3"/>
  <c r="P42" i="3"/>
  <c r="M42" i="3"/>
  <c r="N61" i="3"/>
  <c r="O61" i="3"/>
  <c r="O36" i="3"/>
  <c r="N36" i="3"/>
  <c r="N84" i="3"/>
  <c r="O84" i="3"/>
  <c r="N81" i="3"/>
  <c r="O81" i="3"/>
  <c r="O40" i="3"/>
  <c r="N40" i="3"/>
  <c r="O70" i="3"/>
  <c r="N70" i="3"/>
  <c r="N35" i="3"/>
  <c r="O35" i="3"/>
  <c r="N69" i="3"/>
  <c r="O69" i="3"/>
  <c r="O34" i="3"/>
  <c r="N34" i="3"/>
  <c r="N31" i="3"/>
  <c r="O31" i="3"/>
  <c r="P31" i="3"/>
  <c r="M31" i="3"/>
  <c r="N30" i="3"/>
  <c r="O30" i="3"/>
  <c r="N22" i="3"/>
  <c r="O22" i="3"/>
  <c r="O21" i="3"/>
  <c r="N21" i="3"/>
  <c r="O66" i="3"/>
  <c r="N66" i="3"/>
  <c r="O33" i="3"/>
  <c r="N33" i="3"/>
  <c r="O37" i="3"/>
  <c r="N37" i="3"/>
  <c r="N26" i="3"/>
  <c r="O26" i="3"/>
  <c r="O23" i="3"/>
  <c r="N23" i="3"/>
  <c r="P23" i="3"/>
  <c r="M23" i="3"/>
  <c r="N19" i="3"/>
  <c r="O19" i="3"/>
  <c r="O65" i="3"/>
  <c r="N65" i="3"/>
  <c r="N64" i="3"/>
  <c r="O64" i="3"/>
  <c r="O80" i="3"/>
  <c r="N80" i="3"/>
  <c r="O75" i="3"/>
  <c r="N75" i="3"/>
  <c r="N74" i="3"/>
  <c r="O74" i="3"/>
  <c r="N32" i="3"/>
  <c r="O32" i="3"/>
  <c r="O73" i="3"/>
  <c r="N73" i="3"/>
  <c r="N68" i="3"/>
  <c r="O68" i="3"/>
  <c r="O29" i="3"/>
  <c r="N29" i="3"/>
  <c r="O20" i="3"/>
  <c r="N20" i="3"/>
  <c r="O72" i="3"/>
  <c r="N72" i="3"/>
  <c r="O25" i="3"/>
  <c r="N25" i="3"/>
  <c r="O63" i="3"/>
  <c r="N63" i="3"/>
  <c r="O24" i="3"/>
  <c r="N24" i="3"/>
  <c r="N71" i="3"/>
  <c r="O71" i="3"/>
  <c r="N67" i="3"/>
  <c r="O67" i="3"/>
  <c r="N62" i="3"/>
  <c r="O62" i="3"/>
  <c r="O28" i="3"/>
  <c r="N28" i="3"/>
  <c r="C22" i="6"/>
  <c r="B24" i="6"/>
  <c r="C24" i="6"/>
  <c r="N38" i="3"/>
  <c r="O38" i="3"/>
  <c r="D23" i="6"/>
  <c r="D24" i="6"/>
  <c r="D22" i="6"/>
  <c r="B22" i="6"/>
  <c r="B23" i="6"/>
  <c r="C23" i="6"/>
  <c r="C30" i="6"/>
  <c r="B30" i="6"/>
  <c r="C29" i="6"/>
  <c r="B29" i="6"/>
  <c r="B28" i="6"/>
  <c r="C28" i="6"/>
  <c r="P6" i="3" l="1"/>
  <c r="M6" i="3"/>
  <c r="L6" i="3"/>
  <c r="M17" i="3"/>
  <c r="L17" i="3"/>
  <c r="P17" i="3"/>
  <c r="P8" i="3"/>
  <c r="M8" i="3"/>
  <c r="L8" i="3"/>
  <c r="P16" i="3"/>
  <c r="M16" i="3"/>
  <c r="L16" i="3"/>
  <c r="P10" i="3"/>
  <c r="L10" i="3"/>
  <c r="M10" i="3"/>
  <c r="P15" i="3"/>
  <c r="M15" i="3"/>
  <c r="L15" i="3"/>
  <c r="L7" i="3"/>
  <c r="M7" i="3"/>
  <c r="P7" i="3"/>
  <c r="P5" i="3"/>
  <c r="M5" i="3"/>
  <c r="L5" i="3"/>
  <c r="M103" i="3"/>
  <c r="L103" i="3"/>
  <c r="L18" i="3"/>
  <c r="P18" i="3"/>
  <c r="M18" i="3"/>
  <c r="P4" i="3"/>
  <c r="M4" i="3"/>
  <c r="L4" i="3"/>
  <c r="B102" i="6"/>
  <c r="B103" i="6"/>
  <c r="M28" i="3"/>
  <c r="L28" i="3"/>
  <c r="P28" i="3"/>
  <c r="L33" i="3"/>
  <c r="P33" i="3"/>
  <c r="M33" i="3"/>
  <c r="P66" i="3"/>
  <c r="M66" i="3"/>
  <c r="L66" i="3"/>
  <c r="P11" i="3"/>
  <c r="M11" i="3"/>
  <c r="L11" i="3"/>
  <c r="M19" i="3"/>
  <c r="P19" i="3"/>
  <c r="L19" i="3"/>
  <c r="M9" i="3"/>
  <c r="L9" i="3"/>
  <c r="P9" i="3"/>
  <c r="M13" i="3"/>
  <c r="L13" i="3"/>
  <c r="P13" i="3"/>
  <c r="M81" i="3"/>
  <c r="L81" i="3"/>
  <c r="P81" i="3"/>
  <c r="P71" i="3"/>
  <c r="L71" i="3"/>
  <c r="M71" i="3"/>
  <c r="M30" i="3"/>
  <c r="P30" i="3"/>
  <c r="L30" i="3"/>
  <c r="M67" i="3"/>
  <c r="L67" i="3"/>
  <c r="P67" i="3"/>
  <c r="P40" i="3"/>
  <c r="M40" i="3"/>
  <c r="L40" i="3"/>
  <c r="P14" i="3"/>
  <c r="L14" i="3"/>
  <c r="M14" i="3"/>
  <c r="M69" i="3"/>
  <c r="P69" i="3"/>
  <c r="L69" i="3"/>
  <c r="L62" i="3"/>
  <c r="M62" i="3"/>
  <c r="P62" i="3"/>
  <c r="P21" i="3"/>
  <c r="M21" i="3"/>
  <c r="L21" i="3"/>
  <c r="L36" i="3"/>
  <c r="M36" i="3"/>
  <c r="P36" i="3"/>
  <c r="L34" i="3"/>
  <c r="M34" i="3"/>
  <c r="P34" i="3"/>
  <c r="L84" i="3"/>
  <c r="P84" i="3"/>
  <c r="M84" i="3"/>
  <c r="P38" i="3"/>
  <c r="M38" i="3"/>
  <c r="L38" i="3"/>
  <c r="P70" i="3"/>
  <c r="L70" i="3"/>
  <c r="M70" i="3"/>
  <c r="L22" i="3"/>
  <c r="M22" i="3"/>
  <c r="P22" i="3"/>
  <c r="M35" i="3"/>
  <c r="L35" i="3"/>
  <c r="P35" i="3"/>
  <c r="M61" i="3"/>
  <c r="L61" i="3"/>
  <c r="P61" i="3"/>
  <c r="L37" i="3"/>
  <c r="P37" i="3"/>
  <c r="M37" i="3"/>
  <c r="P26" i="3"/>
  <c r="L26" i="3"/>
  <c r="M26" i="3"/>
  <c r="M65" i="3"/>
  <c r="P65" i="3"/>
  <c r="L65" i="3"/>
  <c r="P64" i="3"/>
  <c r="M64" i="3"/>
  <c r="L64" i="3"/>
  <c r="P80" i="3"/>
  <c r="M80" i="3"/>
  <c r="L80" i="3"/>
  <c r="P75" i="3"/>
  <c r="M75" i="3"/>
  <c r="L75" i="3"/>
  <c r="P74" i="3"/>
  <c r="M74" i="3"/>
  <c r="L74" i="3"/>
  <c r="P25" i="3"/>
  <c r="M25" i="3"/>
  <c r="L25" i="3"/>
  <c r="L24" i="3"/>
  <c r="M24" i="3"/>
  <c r="P24" i="3"/>
  <c r="M32" i="3"/>
  <c r="L32" i="3"/>
  <c r="P32" i="3"/>
  <c r="M73" i="3"/>
  <c r="L73" i="3"/>
  <c r="P73" i="3"/>
  <c r="L68" i="3"/>
  <c r="P68" i="3"/>
  <c r="M68" i="3"/>
  <c r="M63" i="3"/>
  <c r="L63" i="3"/>
  <c r="P63" i="3"/>
  <c r="M29" i="3"/>
  <c r="P29" i="3"/>
  <c r="L29" i="3"/>
  <c r="M20" i="3"/>
  <c r="L20" i="3"/>
  <c r="P20" i="3"/>
  <c r="L72" i="3"/>
  <c r="M72" i="3"/>
  <c r="P72" i="3"/>
  <c r="L39" i="3"/>
  <c r="M39" i="3"/>
  <c r="P39" i="3"/>
  <c r="B34" i="6"/>
  <c r="C34" i="6"/>
  <c r="F34" i="6"/>
  <c r="C35" i="6"/>
  <c r="E35" i="6"/>
  <c r="F35" i="6"/>
  <c r="C36" i="6"/>
  <c r="F36" i="6"/>
  <c r="D34" i="6"/>
  <c r="E34" i="6"/>
  <c r="B35" i="6"/>
  <c r="D35" i="6"/>
  <c r="B36" i="6"/>
  <c r="D36" i="6"/>
  <c r="E36" i="6"/>
  <c r="L3" i="3"/>
  <c r="P3" i="3"/>
  <c r="M3" i="3"/>
  <c r="P12" i="3"/>
  <c r="M12" i="3"/>
  <c r="L12" i="3"/>
  <c r="M27" i="3"/>
  <c r="L27" i="3"/>
  <c r="B101"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073D1A-5D4B-4837-A612-BF244DF305C2}"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34353404-D8BE-4BC7-8A84-A8696F623B76}"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<sst xmlns="http://schemas.openxmlformats.org/spreadsheetml/2006/main" count="1066" uniqueCount="537">
  <si>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</si>
  <si>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</si>
  <si>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</si>
  <si>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</si>
  <si>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</si>
  <si>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</si>
  <si>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</si>
  <si>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</si>
  <si>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</si>
  <si>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</si>
  <si>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</si>
  <si>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</si>
  <si>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</si>
  <si>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</si>
  <si>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</si>
  <si>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</si>
  <si>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</si>
  <si>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</si>
  <si>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</si>
  <si>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</si>
  <si>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</si>
  <si>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</si>
  <si>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</si>
  <si>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</si>
  <si>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</si>
  <si>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</si>
  <si>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</si>
  <si>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</si>
  <si>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</si>
  <si>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</si>
  <si>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</si>
  <si>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</si>
  <si>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</si>
  <si>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</si>
  <si>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</si>
  <si>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</si>
  <si>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</si>
  <si>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</si>
  <si>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</si>
  <si>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</si>
  <si>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</si>
  <si>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</si>
  <si>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</si>
  <si>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</si>
  <si>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</si>
  <si>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</si>
  <si>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</si>
  <si>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</si>
  <si>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</si>
  <si>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</si>
  <si>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</si>
  <si>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</si>
  <si>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</si>
  <si>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</si>
  <si>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</si>
  <si>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</si>
  <si>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</si>
  <si>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</si>
  <si>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</si>
  <si>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</si>
  <si>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</si>
  <si>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</si>
  <si>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</si>
  <si>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</si>
  <si>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</si>
  <si>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</si>
  <si>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</si>
  <si>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</si>
  <si>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</si>
  <si>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</si>
  <si>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</si>
  <si>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</si>
  <si>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</si>
  <si>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</si>
  <si>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</si>
  <si>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</si>
  <si>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</si>
  <si>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</si>
  <si>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</si>
  <si>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</si>
  <si>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</si>
  <si>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</si>
  <si>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</si>
  <si>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</si>
  <si>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</si>
  <si>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</si>
  <si>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</si>
  <si>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</si>
  <si>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</si>
  <si>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</si>
  <si>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</si>
  <si>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</si>
  <si>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</si>
  <si>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</si>
  <si>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</si>
  <si>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</si>
  <si>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</si>
  <si>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</si>
  <si>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</si>
  <si>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</si>
  <si>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</si>
  <si>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</si>
  <si>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</si>
  <si>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</si>
  <si>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</si>
  <si>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</si>
  <si>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</si>
  <si>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</si>
  <si>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</si>
  <si>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</si>
  <si>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</si>
  <si>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</si>
  <si>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</si>
  <si>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</si>
  <si>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</si>
  <si>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</si>
  <si>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</si>
  <si>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</si>
  <si>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</si>
  <si>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</si>
  <si>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</si>
  <si>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</si>
  <si>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</si>
  <si>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</si>
  <si>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</si>
  <si>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</si>
  <si>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</si>
  <si>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</si>
  <si>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</si>
  <si>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</si>
  <si>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</si>
  <si>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</si>
  <si>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</si>
  <si>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</si>
  <si>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</si>
  <si>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</si>
  <si>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</si>
  <si>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</si>
  <si>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</si>
  <si>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</si>
  <si>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</si>
  <si>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</si>
  <si>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</si>
  <si>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</si>
  <si>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</si>
  <si>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</si>
  <si>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</si>
  <si>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</si>
  <si>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</si>
  <si>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</si>
  <si>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</si>
  <si>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</si>
  <si>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</si>
  <si>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</si>
  <si>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</si>
  <si>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</si>
  <si>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</si>
  <si>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</si>
  <si>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</si>
  <si>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</si>
  <si>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</si>
  <si>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</si>
  <si>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</si>
  <si>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</si>
  <si>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</si>
  <si>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</si>
  <si>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</si>
  <si>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</si>
  <si>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</si>
  <si>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</si>
  <si>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</si>
  <si>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</si>
  <si>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</si>
  <si>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</si>
  <si>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</si>
  <si>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</si>
  <si>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</si>
  <si>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</si>
  <si>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</si>
  <si>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</si>
  <si>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</si>
  <si>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</si>
  <si>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</si>
  <si>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</si>
  <si>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</si>
  <si>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</si>
  <si>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</si>
  <si>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</si>
  <si>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</si>
  <si>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</si>
  <si>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</si>
  <si>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</si>
  <si>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</si>
  <si>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</si>
  <si>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</si>
  <si>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</si>
  <si>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</si>
  <si>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</si>
  <si>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</si>
  <si>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</si>
  <si>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</si>
  <si>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</si>
  <si>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</si>
  <si>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</si>
  <si>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</si>
  <si>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</si>
  <si>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</si>
  <si>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</si>
  <si>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</si>
  <si>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</si>
  <si>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</si>
  <si>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</si>
  <si>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</si>
  <si>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</si>
  <si>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</si>
  <si>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</si>
  <si>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</si>
  <si>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</si>
  <si>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</si>
  <si>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</si>
  <si>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</si>
  <si>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</si>
  <si>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</si>
  <si>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</si>
  <si>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</si>
  <si>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</si>
  <si>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</si>
  <si>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</si>
  <si>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</si>
  <si>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</si>
  <si>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</si>
  <si>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</si>
  <si>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</si>
  <si>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</si>
  <si>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</si>
  <si>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</si>
  <si>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</si>
  <si>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</si>
  <si>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</si>
  <si>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</si>
  <si>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</si>
  <si>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</si>
  <si>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</si>
  <si>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</si>
  <si>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</si>
  <si>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</si>
  <si>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</si>
  <si>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</si>
  <si>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</si>
  <si>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</si>
  <si>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</si>
  <si>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</si>
  <si>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</si>
  <si>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</si>
  <si>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</si>
  <si>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</si>
  <si>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</si>
  <si>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</si>
  <si>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</si>
  <si>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</si>
  <si>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</si>
  <si>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</si>
  <si>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</si>
  <si>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</si>
  <si>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</si>
  <si>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</si>
  <si>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</si>
  <si>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</si>
  <si>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</si>
  <si>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</si>
  <si>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</si>
  <si>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</si>
  <si>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</si>
  <si>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</si>
  <si>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</si>
  <si>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</si>
  <si>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</si>
  <si>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</si>
  <si>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</si>
  <si>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</si>
  <si>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</si>
  <si>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</si>
  <si>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</si>
  <si>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</si>
  <si>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</si>
  <si>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</si>
  <si>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</si>
  <si>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</si>
  <si>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</si>
  <si>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</si>
  <si>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</si>
  <si>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</si>
  <si>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</si>
  <si>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</si>
  <si>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</si>
  <si>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</si>
  <si>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</si>
  <si>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</si>
  <si>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</si>
  <si>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</si>
  <si>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</si>
  <si>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</si>
  <si>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</si>
  <si>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</si>
  <si>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</si>
  <si>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</si>
  <si>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</si>
  <si>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</si>
  <si>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</si>
  <si>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</si>
  <si>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</si>
  <si>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</si>
  <si>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</si>
  <si>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</si>
  <si>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</si>
  <si>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</si>
  <si>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</si>
  <si>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</si>
  <si>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</si>
  <si>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</si>
  <si>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</si>
  <si>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</si>
  <si>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</si>
  <si>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</si>
  <si>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Current Price &gt; Old Price</t>
  </si>
  <si>
    <t>Issue</t>
  </si>
  <si>
    <t>Rows Affected</t>
  </si>
  <si>
    <t>Decision</t>
  </si>
  <si>
    <t>Reason</t>
  </si>
  <si>
    <t>Rating text</t>
  </si>
  <si>
    <t>Current Price</t>
  </si>
  <si>
    <t>Old Price</t>
  </si>
  <si>
    <t>Rating</t>
  </si>
  <si>
    <t>Data Status</t>
  </si>
  <si>
    <t>Missing review &amp; rating</t>
  </si>
  <si>
    <t>Complete</t>
  </si>
  <si>
    <t>Result</t>
  </si>
  <si>
    <t>Power Query errors</t>
  </si>
  <si>
    <t>Required for numeric analysis</t>
  </si>
  <si>
    <t>Review counts cannot logically be negative; negative sign treated as scraping artifact</t>
  </si>
  <si>
    <t>Retained as blank/null</t>
  </si>
  <si>
    <t>Exact duplicate records</t>
  </si>
  <si>
    <t>JUMIA PRODUCT PERFORMANCE DASHBOARD</t>
  </si>
  <si>
    <t>DATA DICTIONARY &amp; DATA QUALITY DOCUMENTATION</t>
  </si>
  <si>
    <t>SECTION A — DATA QUALITY AUDIT</t>
  </si>
  <si>
    <t>Audit Check</t>
  </si>
  <si>
    <t>Source Result</t>
  </si>
  <si>
    <t>Cleaned Result</t>
  </si>
  <si>
    <t>Notes</t>
  </si>
  <si>
    <t>Source row count</t>
  </si>
  <si>
    <t>3 duplicate rows removed</t>
  </si>
  <si>
    <t>Source column count</t>
  </si>
  <si>
    <t>10*</t>
  </si>
  <si>
    <t>Additional audit/status fields created during cleaning</t>
  </si>
  <si>
    <t>Blank Product values</t>
  </si>
  <si>
    <t>No missing product names observed</t>
  </si>
  <si>
    <t>Distinct Product names</t>
  </si>
  <si>
    <t>—</t>
  </si>
  <si>
    <t>Repeated product names do not automatically indicate duplicate records</t>
  </si>
  <si>
    <t>Blank Current Price</t>
  </si>
  <si>
    <t>All current prices successfully converted to numeric values</t>
  </si>
  <si>
    <t>Current Price ranges</t>
  </si>
  <si>
    <t>Blank Old Price</t>
  </si>
  <si>
    <t>All old prices successfully converted to numeric values</t>
  </si>
  <si>
    <t>Old Price ranges</t>
  </si>
  <si>
    <t>Blank Discount values</t>
  </si>
  <si>
    <t>Discount imported correctly as Percentage</t>
  </si>
  <si>
    <t>Discount below 0%</t>
  </si>
  <si>
    <t>None identified</t>
  </si>
  <si>
    <t>Discount above 100%</t>
  </si>
  <si>
    <t>Minimum Discount</t>
  </si>
  <si>
    <t>Within valid range</t>
  </si>
  <si>
    <t>Maximum Discount</t>
  </si>
  <si>
    <t>Blank Review values</t>
  </si>
  <si>
    <t>Three removed duplicate records contained missing review/rating data</t>
  </si>
  <si>
    <t>Negative Review values</t>
  </si>
  <si>
    <t>57 populated values were negative</t>
  </si>
  <si>
    <t>Converted populated reviews to absolute values</t>
  </si>
  <si>
    <t>Minimum populated Review</t>
  </si>
  <si>
    <t>Negative sign treated as scraping artifact</t>
  </si>
  <si>
    <t>Maximum populated Review</t>
  </si>
  <si>
    <t>Converted using absolute values</t>
  </si>
  <si>
    <t>Blank Rating values</t>
  </si>
  <si>
    <t>Missing ratings retained as blank</t>
  </si>
  <si>
    <t>Ratings below 0</t>
  </si>
  <si>
    <t>Ratings above 5</t>
  </si>
  <si>
    <t>Minimum populated Rating</t>
  </si>
  <si>
    <t>Within expected 0–5 scale</t>
  </si>
  <si>
    <t>Maximum populated Rating</t>
  </si>
  <si>
    <t>3 excess records</t>
  </si>
  <si>
    <t>Removed using six-field duplicate key</t>
  </si>
  <si>
    <t>All cleaned records passed Price Check</t>
  </si>
  <si>
    <t>No transformation errors after cleaning</t>
  </si>
  <si>
    <t>Complete Review + Rating records</t>
  </si>
  <si>
    <t>Suitable for analyses requiring both fields</t>
  </si>
  <si>
    <t>Missing Review + Rating records</t>
  </si>
  <si>
    <t>Both fields missing together</t>
  </si>
  <si>
    <t>KSh 1,620 - KSh 1,980 converted to midpoint KSh 1,800; original preserved</t>
  </si>
  <si>
    <t>KSh 2,200 - KSh 3,200 converted to midpoint KSh 2,700; original preserved</t>
  </si>
  <si>
    <t>SECTION B — CLEANING LOG</t>
  </si>
  <si>
    <t>Product text consistency</t>
  </si>
  <si>
    <t>115 checked</t>
  </si>
  <si>
    <t>Applied Power Query Trim and Clean</t>
  </si>
  <si>
    <t>Removes unnecessary whitespace and non-printable characters while retaining meaningful punctuation</t>
  </si>
  <si>
    <t>Product name repetition</t>
  </si>
  <si>
    <t>Multiple</t>
  </si>
  <si>
    <t>Retained repeated product names unless entire relevant record was duplicated</t>
  </si>
  <si>
    <t>Same product name may represent legitimate listings with different prices or feedback</t>
  </si>
  <si>
    <t>1 column</t>
  </si>
  <si>
    <t>Creates a clear and standardized field name</t>
  </si>
  <si>
    <t>Current Price currency text</t>
  </si>
  <si>
    <t>Required for mathematical analysis and PivotTables</t>
  </si>
  <si>
    <t>Current Price range</t>
  </si>
  <si>
    <t>Midpoint provides one numeric analytical value while preserving the source value separately</t>
  </si>
  <si>
    <t>Current Price original text</t>
  </si>
  <si>
    <t>Maintains auditability of the transformation, especially the price range</t>
  </si>
  <si>
    <t>Old Price currency text</t>
  </si>
  <si>
    <t>Required for mathematical analysis</t>
  </si>
  <si>
    <t>Old Price range</t>
  </si>
  <si>
    <t>Provides a consistent numeric value for analysis</t>
  </si>
  <si>
    <t>Old Price original text</t>
  </si>
  <si>
    <t>Maintains traceability of source values</t>
  </si>
  <si>
    <t>Discount formatting</t>
  </si>
  <si>
    <t>Retained Power Query Percentage data type</t>
  </si>
  <si>
    <t>Power Query had already interpreted values correctly; additional conversion was unnecessary</t>
  </si>
  <si>
    <t>Discount validity</t>
  </si>
  <si>
    <t>No correction required</t>
  </si>
  <si>
    <t>Values ranged from 1% to 64%, all within 0%–100%</t>
  </si>
  <si>
    <t>57 populated source records</t>
  </si>
  <si>
    <t>Converted to absolute whole numbers</t>
  </si>
  <si>
    <t>Missing Review values</t>
  </si>
  <si>
    <t>58 source / 55 cleaned</t>
  </si>
  <si>
    <t>Missing/not captured is not equivalent to zero reviews</t>
  </si>
  <si>
    <t>57 populated records</t>
  </si>
  <si>
    <t>Missing Rating values</t>
  </si>
  <si>
    <t>Avoids unsupported imputation and misleading zero ratings</t>
  </si>
  <si>
    <t>Rating validity</t>
  </si>
  <si>
    <t>57 populated cleaned records</t>
  </si>
  <si>
    <t>No correction required after conversion</t>
  </si>
  <si>
    <t>Values ranged from 2 to 5, within valid 0–5 scale</t>
  </si>
  <si>
    <t>3 redundant rows</t>
  </si>
  <si>
    <t>Removed duplicates</t>
  </si>
  <si>
    <t>Prevents double-counting and distorted analysis</t>
  </si>
  <si>
    <t>Duplicate identification key</t>
  </si>
  <si>
    <t>6 fields</t>
  </si>
  <si>
    <t>Used Product + Current Price + Old Price + Discount + Review + Rating</t>
  </si>
  <si>
    <t>Ensures only genuinely identical analytical records are removed</t>
  </si>
  <si>
    <t>All cleaned records passed pricing validation</t>
  </si>
  <si>
    <t>Missing-data coverage</t>
  </si>
  <si>
    <t>Makes data completeness visible to users and analysis</t>
  </si>
  <si>
    <t>Complete records</t>
  </si>
  <si>
    <t>Both Review and Rating are available</t>
  </si>
  <si>
    <t>Missing-feedback records</t>
  </si>
  <si>
    <t>Both customer-feedback fields are unavailable</t>
  </si>
  <si>
    <t>Price validation</t>
  </si>
  <si>
    <t>Provides traceable validation that Current Price does not exceed Old Price</t>
  </si>
  <si>
    <t>Misspelled Ratingd header</t>
  </si>
  <si>
    <t>Renamed to Rating</t>
  </si>
  <si>
    <t>Removed KSh and commas and converted to Whole Number</t>
  </si>
  <si>
    <t>Converted KSh 1,620 - KSh 1,980 to midpoint KSh 1,800</t>
  </si>
  <si>
    <t>Preserved in Current Price Original</t>
  </si>
  <si>
    <t>Converted KSh 2,200 - KSh 3,200 to midpoint KSh 2,700</t>
  </si>
  <si>
    <t>Preserved in Old Price Original</t>
  </si>
  <si>
    <t>Removed " out of 5" and converted to Decimal Number</t>
  </si>
  <si>
    <t>Added Data Status field</t>
  </si>
  <si>
    <t>Labelled Complete</t>
  </si>
  <si>
    <t>Labelled Missing review &amp; rating</t>
  </si>
  <si>
    <t>Added Price Check field</t>
  </si>
  <si>
    <t>Discount Amount</t>
  </si>
  <si>
    <t>Rating Category</t>
  </si>
  <si>
    <t>Discount Category</t>
  </si>
  <si>
    <t>Price Threshold</t>
  </si>
  <si>
    <t>Value</t>
  </si>
  <si>
    <t>Q1 - 25th Percentile</t>
  </si>
  <si>
    <t>Q3 - 75th Percentile</t>
  </si>
  <si>
    <t>Price Category</t>
  </si>
  <si>
    <t>Engagement Threshold</t>
  </si>
  <si>
    <t>Review 75th Percentile</t>
  </si>
  <si>
    <t>Engagement Flag</t>
  </si>
  <si>
    <t>Performance Flag</t>
  </si>
  <si>
    <t>High Rating + High Engagement</t>
  </si>
  <si>
    <t>High Discount + Low Rating</t>
  </si>
  <si>
    <t>High Discount + High Rating</t>
  </si>
  <si>
    <t>DESCRIPTIVE STATISTICS</t>
  </si>
  <si>
    <t>Metric</t>
  </si>
  <si>
    <t>Average</t>
  </si>
  <si>
    <t>Median</t>
  </si>
  <si>
    <t>Minimum</t>
  </si>
  <si>
    <t>Maximum</t>
  </si>
  <si>
    <t>Count</t>
  </si>
  <si>
    <t>Products</t>
  </si>
  <si>
    <t>Average Discount</t>
  </si>
  <si>
    <t>Average Reviews</t>
  </si>
  <si>
    <t>Low Discount</t>
  </si>
  <si>
    <t>Medium Discount</t>
  </si>
  <si>
    <t>High Discount</t>
  </si>
  <si>
    <t>Poor</t>
  </si>
  <si>
    <t>Excellent</t>
  </si>
  <si>
    <t>Rating vs Review Correlation</t>
  </si>
  <si>
    <t>Interpretation</t>
  </si>
  <si>
    <t>Very weak positive relationship; rating and review count are essentially unrelated in this dataset</t>
  </si>
  <si>
    <t>Avg Current Price</t>
  </si>
  <si>
    <t>Avg Discount</t>
  </si>
  <si>
    <t>Avg Reviews</t>
  </si>
  <si>
    <t>Avg Rating</t>
  </si>
  <si>
    <t>Low Price</t>
  </si>
  <si>
    <t>Medium Price</t>
  </si>
  <si>
    <t>High Price</t>
  </si>
  <si>
    <t>Number of Products</t>
  </si>
  <si>
    <t>Grand Total</t>
  </si>
  <si>
    <t>Low Rating + Low Engagement</t>
  </si>
  <si>
    <t>Avg Review</t>
  </si>
  <si>
    <t>Count of Product</t>
  </si>
  <si>
    <t>Column Labels</t>
  </si>
  <si>
    <t>High Engagement</t>
  </si>
  <si>
    <t>Low Engagement</t>
  </si>
  <si>
    <t>No</t>
  </si>
  <si>
    <t>Yes</t>
  </si>
  <si>
    <t>Max of Review</t>
  </si>
  <si>
    <t>P</t>
  </si>
  <si>
    <t>Q</t>
  </si>
  <si>
    <t>Total Products</t>
  </si>
  <si>
    <t>Avg Price</t>
  </si>
  <si>
    <t>KEY INSIGHTS &amp; RECOMMENDATIONS</t>
  </si>
  <si>
    <t>Most expensive Product</t>
  </si>
  <si>
    <t>Least expensive Product</t>
  </si>
  <si>
    <t>Min of Review</t>
  </si>
  <si>
    <t>Sum of Review</t>
  </si>
  <si>
    <t>Average of Rating</t>
  </si>
  <si>
    <t>Review Count (Top 10 Products)</t>
  </si>
  <si>
    <t>Review Count  (Bottom 10 Products)</t>
  </si>
  <si>
    <t>TREND ANALYSIS</t>
  </si>
  <si>
    <t>PRODUCT PERFORMANCE ANALYSIS</t>
  </si>
  <si>
    <t>Average of Discount</t>
  </si>
  <si>
    <t>Review Count (Bottom 5 Products)</t>
  </si>
  <si>
    <t>Review Count (Top 5 Products)</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</si>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</sst>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Sh &quot;\ #,##0.00"/>
    <numFmt numFmtId="165"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24"/>
      <color theme="1"/>
      <name val="Aptos Narrow"/>
      <family val="2"/>
      <scheme val="minor"/>
    </font>
    <font>
      <b/>
      <sz val="28"/>
      <color theme="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63">
    <xf numFmtId="0" fontId="0" fillId="0" borderId="0" xfId="0"/>
    <xf numFmtId="0" fontId="0" fillId="0" borderId="0" xfId="0" applyAlignment="1">
      <alignment vertical="center" wrapText="1"/>
    </xf>
    <xf numFmtId="0" fontId="0" fillId="0" borderId="0" xfId="0" applyAlignment="1">
      <alignment horizontal="right" vertical="center" wrapText="1"/>
    </xf>
    <xf numFmtId="164" fontId="0" fillId="0" borderId="0" xfId="0" applyNumberFormat="1"/>
    <xf numFmtId="9" fontId="0" fillId="0" borderId="0" xfId="1" applyFont="1"/>
    <xf numFmtId="1" fontId="0" fillId="0" borderId="0" xfId="0" applyNumberFormat="1"/>
    <xf numFmtId="165" fontId="0" fillId="0" borderId="0" xfId="0" applyNumberFormat="1"/>
    <xf numFmtId="0" fontId="2" fillId="0" borderId="0" xfId="0" applyFont="1"/>
    <xf numFmtId="0" fontId="2" fillId="0" borderId="1" xfId="0" applyFont="1" applyBorder="1" applyAlignment="1">
      <alignment vertical="center" wrapText="1"/>
    </xf>
    <xf numFmtId="0" fontId="0" fillId="0" borderId="2" xfId="0" applyBorder="1" applyAlignment="1">
      <alignment vertical="center" wrapText="1"/>
    </xf>
    <xf numFmtId="0" fontId="0" fillId="0" borderId="2" xfId="0" applyBorder="1"/>
    <xf numFmtId="0" fontId="0" fillId="0" borderId="3" xfId="0" applyBorder="1"/>
    <xf numFmtId="0" fontId="0" fillId="0" borderId="4" xfId="0" applyBorder="1" applyAlignment="1">
      <alignment vertical="center" wrapText="1"/>
    </xf>
    <xf numFmtId="0" fontId="0" fillId="0" borderId="4" xfId="0" applyBorder="1"/>
    <xf numFmtId="0" fontId="0" fillId="0" borderId="5" xfId="0" applyBorder="1"/>
    <xf numFmtId="0" fontId="2"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9" fontId="0" fillId="0" borderId="0" xfId="0" applyNumberFormat="1" applyAlignment="1">
      <alignment horizontal="center"/>
    </xf>
    <xf numFmtId="0" fontId="0" fillId="0" borderId="7" xfId="0" applyBorder="1" applyAlignment="1">
      <alignment horizontal="center"/>
    </xf>
    <xf numFmtId="0" fontId="2" fillId="0" borderId="6" xfId="0" applyFont="1" applyBorder="1" applyAlignment="1">
      <alignment vertical="center" wrapText="1"/>
    </xf>
    <xf numFmtId="0" fontId="0" fillId="0" borderId="0" xfId="0" applyAlignment="1">
      <alignment horizontal="left"/>
    </xf>
    <xf numFmtId="0" fontId="2" fillId="0" borderId="8"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xf>
    <xf numFmtId="9" fontId="0" fillId="0" borderId="4" xfId="0" applyNumberFormat="1" applyBorder="1" applyAlignment="1">
      <alignment horizontal="center"/>
    </xf>
    <xf numFmtId="0" fontId="0" fillId="0" borderId="5" xfId="0" applyBorder="1" applyAlignment="1">
      <alignment horizontal="center"/>
    </xf>
    <xf numFmtId="0" fontId="2" fillId="0" borderId="8" xfId="0" applyFont="1" applyBorder="1"/>
    <xf numFmtId="0" fontId="2" fillId="0" borderId="1" xfId="0" applyFont="1" applyBorder="1"/>
    <xf numFmtId="164" fontId="0" fillId="0" borderId="0" xfId="1" applyNumberFormat="1" applyFont="1"/>
    <xf numFmtId="2" fontId="0" fillId="0" borderId="0" xfId="0" applyNumberFormat="1"/>
    <xf numFmtId="9" fontId="0" fillId="0" borderId="0" xfId="0" applyNumberFormat="1"/>
    <xf numFmtId="0" fontId="0" fillId="0" borderId="0" xfId="0" pivotButton="1"/>
    <xf numFmtId="164" fontId="2" fillId="0" borderId="1" xfId="0" applyNumberFormat="1" applyFont="1" applyBorder="1"/>
    <xf numFmtId="10" fontId="2" fillId="0" borderId="1" xfId="0" applyNumberFormat="1" applyFont="1" applyBorder="1"/>
    <xf numFmtId="3" fontId="2" fillId="0" borderId="1" xfId="0" applyNumberFormat="1" applyFont="1" applyBorder="1"/>
    <xf numFmtId="2" fontId="2" fillId="0" borderId="1" xfId="0" applyNumberFormat="1" applyFont="1" applyBorder="1"/>
    <xf numFmtId="0" fontId="0" fillId="0" borderId="1" xfId="0" applyBorder="1"/>
    <xf numFmtId="164" fontId="0" fillId="0" borderId="1" xfId="0" applyNumberFormat="1" applyBorder="1"/>
    <xf numFmtId="10" fontId="0" fillId="0" borderId="1" xfId="0" applyNumberFormat="1" applyBorder="1"/>
    <xf numFmtId="3" fontId="0" fillId="0" borderId="1" xfId="0" applyNumberFormat="1" applyBorder="1"/>
    <xf numFmtId="2" fontId="0" fillId="0" borderId="1" xfId="0" applyNumberFormat="1" applyBorder="1"/>
    <xf numFmtId="9" fontId="0" fillId="0" borderId="1" xfId="1" applyFont="1" applyBorder="1"/>
    <xf numFmtId="1" fontId="0" fillId="0" borderId="1" xfId="0" applyNumberFormat="1" applyBorder="1"/>
    <xf numFmtId="0" fontId="0" fillId="0" borderId="1" xfId="1" applyNumberFormat="1" applyFont="1" applyBorder="1"/>
    <xf numFmtId="0" fontId="2" fillId="0" borderId="0" xfId="0" applyFont="1" applyAlignment="1">
      <alignment horizontal="center" vertical="center" wrapText="1"/>
    </xf>
    <xf numFmtId="2" fontId="0" fillId="0" borderId="0" xfId="0" applyNumberFormat="1" applyAlignment="1">
      <alignment vertical="center" wrapText="1"/>
    </xf>
    <xf numFmtId="1" fontId="0" fillId="0" borderId="0" xfId="0" applyNumberFormat="1" applyAlignment="1">
      <alignment vertical="center" wrapText="1"/>
    </xf>
    <xf numFmtId="9" fontId="0" fillId="0" borderId="0" xfId="0" applyNumberFormat="1" applyAlignment="1">
      <alignment vertical="center" wrapText="1"/>
    </xf>
    <xf numFmtId="0" fontId="0" fillId="2" borderId="0" xfId="0" applyFill="1"/>
    <xf numFmtId="0" fontId="0" fillId="3" borderId="0" xfId="0" applyFill="1"/>
    <xf numFmtId="0" fontId="0" fillId="0" borderId="12" xfId="0" applyBorder="1"/>
    <xf numFmtId="0" fontId="0" fillId="0" borderId="13" xfId="0" applyBorder="1"/>
    <xf numFmtId="0" fontId="0" fillId="0" borderId="14" xfId="0" applyBorder="1"/>
    <xf numFmtId="0" fontId="0" fillId="0" borderId="7" xfId="0" applyBorder="1"/>
    <xf numFmtId="0" fontId="2" fillId="0" borderId="0" xfId="0" applyFont="1" applyAlignment="1">
      <alignment horizontal="left"/>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2" fillId="2" borderId="0" xfId="0" applyFont="1" applyFill="1" applyAlignment="1">
      <alignment horizontal="center"/>
    </xf>
    <xf numFmtId="0" fontId="5" fillId="2" borderId="0" xfId="0" applyFont="1" applyFill="1" applyAlignment="1">
      <alignment horizontal="center"/>
    </xf>
    <xf numFmtId="0" fontId="2" fillId="0" borderId="0" xfId="0" applyFont="1" applyAlignment="1">
      <alignment horizontal="center" vertical="center" wrapText="1"/>
    </xf>
    <xf numFmtId="0" fontId="2" fillId="0" borderId="0" xfId="0" applyFont="1" applyAlignment="1">
      <alignment horizontal="center"/>
    </xf>
  </cellXfs>
  <cellStyles count="2">
    <cellStyle name="Normal" xfId="0" builtinId="0"/>
    <cellStyle name="Percent" xfId="1" builtinId="5"/>
  </cellStyles>
  <dxfs count="30">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64" formatCode="&quot;KSh &quot;\ #,##0.00"/>
    </dxf>
    <dxf>
      <numFmt numFmtId="164" formatCode="&quot;KSh &quot;\ #,##0.00"/>
    </dxf>
    <dxf>
      <numFmt numFmtId="164" formatCode="&quot;KSh &quot;\ #,##0.00"/>
    </dxf>
    <dxf>
      <numFmt numFmtId="164" formatCode="&quot;KSh &quot;\ #,##0.00"/>
    </dxf>
    <dxf>
      <numFmt numFmtId="164" formatCode="&quot;KSh &quot;\ #,##0.00"/>
    </dxf>
    <dxf>
      <numFmt numFmtId="164" formatCode="&quot;KSh &quot;\ #,##0.00"/>
    </dxf>
    <dxf>
      <numFmt numFmtId="164" formatCode="&quot;KSh &quot;\ #,##0.00"/>
    </dxf>
    <dxf>
      <numFmt numFmtId="164" formatCode="&quot;KSh &quot;\ #,##0.00"/>
    </dxf>
    <dxf>
      <numFmt numFmtId="164" formatCode="&quot;KSh &quot;\ #,##0.00"/>
    </dxf>
    <dxf>
      <numFmt numFmtId="164" formatCode="&quot;KSh &quot;\ #,##0.00"/>
    </dxf>
    <dxf>
      <numFmt numFmtId="165" formatCode="0.0"/>
    </dxf>
    <dxf>
      <numFmt numFmtId="1" formatCode="0"/>
    </dxf>
    <dxf>
      <font>
        <b val="0"/>
        <i val="0"/>
        <strike val="0"/>
        <condense val="0"/>
        <extend val="0"/>
        <outline val="0"/>
        <shadow val="0"/>
        <u val="none"/>
        <vertAlign val="baseline"/>
        <sz val="11"/>
        <color theme="1"/>
        <name val="Aptos Narrow"/>
        <family val="2"/>
        <scheme val="minor"/>
      </font>
    </dxf>
    <dxf>
      <numFmt numFmtId="164" formatCode="&quot;KSh &quot;\ #,##0.00"/>
    </dxf>
    <dxf>
      <numFmt numFmtId="164" formatCode="&quot;KSh &quot;\ #,##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Tables!ptChartDiscountReviews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1" i="0" u="none" strike="noStrike" baseline="0"/>
              <a:t>Average Reviews by Discount Category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Tables'!$F$4:$F$7</c:f>
              <c:strCache>
                <c:ptCount val="3"/>
                <c:pt idx="0">
                  <c:v>Low Discount</c:v>
                </c:pt>
                <c:pt idx="1">
                  <c:v>Medium Discount</c:v>
                </c:pt>
                <c:pt idx="2">
                  <c:v>High Discount</c:v>
                </c:pt>
              </c:strCache>
            </c:strRef>
          </c:cat>
          <c:val>
            <c:numRef>
              <c:f>'Pivot Tables'!$G$4:$G$7</c:f>
              <c:numCache>
                <c:formatCode>0</c:formatCode>
                <c:ptCount val="3"/>
                <c:pt idx="0">
                  <c:v>10</c:v>
                </c:pt>
                <c:pt idx="1">
                  <c:v>15.409090909090908</c:v>
                </c:pt>
                <c:pt idx="2">
                  <c:v>11.133333333333333</c:v>
                </c:pt>
              </c:numCache>
            </c:numRef>
          </c:val>
          <c:extLst>
            <c:ext xmlns:c16="http://schemas.microsoft.com/office/drawing/2014/chart" uri="{C3380CC4-5D6E-409C-BE32-E72D297353CC}">
              <c16:uniqueId val="{00000000-90B7-4C0E-8CD2-41E899032061}"/>
            </c:ext>
          </c:extLst>
        </c:ser>
        <c:dLbls>
          <c:dLblPos val="outEnd"/>
          <c:showLegendKey val="0"/>
          <c:showVal val="1"/>
          <c:showCatName val="0"/>
          <c:showSerName val="0"/>
          <c:showPercent val="0"/>
          <c:showBubbleSize val="0"/>
        </c:dLbls>
        <c:gapWidth val="219"/>
        <c:overlap val="-27"/>
        <c:axId val="1173648687"/>
        <c:axId val="1125354255"/>
      </c:barChart>
      <c:catAx>
        <c:axId val="11736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25354255"/>
        <c:crosses val="autoZero"/>
        <c:auto val="1"/>
        <c:lblAlgn val="ctr"/>
        <c:lblOffset val="100"/>
        <c:noMultiLvlLbl val="0"/>
      </c:catAx>
      <c:valAx>
        <c:axId val="1125354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364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Tables!ptChartPriceRating</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1" i="0" u="none" strike="noStrike" baseline="0"/>
              <a:t>Average Rating by Price Category</a:t>
            </a:r>
            <a:endParaRPr lang="en-US" sz="1400" b="1"/>
          </a:p>
        </c:rich>
      </c:tx>
      <c:layout>
        <c:manualLayout>
          <c:xMode val="edge"/>
          <c:yMode val="edge"/>
          <c:x val="0.24392234591365738"/>
          <c:y val="4.61760461760461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Tables'!$H$12:$H$15</c:f>
              <c:strCache>
                <c:ptCount val="3"/>
                <c:pt idx="0">
                  <c:v>Low Price</c:v>
                </c:pt>
                <c:pt idx="1">
                  <c:v>Medium Price</c:v>
                </c:pt>
                <c:pt idx="2">
                  <c:v>High Price</c:v>
                </c:pt>
              </c:strCache>
            </c:strRef>
          </c:cat>
          <c:val>
            <c:numRef>
              <c:f>'Pivot Tables'!$I$12:$I$15</c:f>
              <c:numCache>
                <c:formatCode>0.00</c:formatCode>
                <c:ptCount val="3"/>
                <c:pt idx="0">
                  <c:v>3.6357142857142861</c:v>
                </c:pt>
                <c:pt idx="1">
                  <c:v>3.8833333333333333</c:v>
                </c:pt>
                <c:pt idx="2">
                  <c:v>4.0842105263157897</c:v>
                </c:pt>
              </c:numCache>
            </c:numRef>
          </c:val>
          <c:extLst>
            <c:ext xmlns:c16="http://schemas.microsoft.com/office/drawing/2014/chart" uri="{C3380CC4-5D6E-409C-BE32-E72D297353CC}">
              <c16:uniqueId val="{00000000-5C2A-4A63-B272-E32D98914665}"/>
            </c:ext>
          </c:extLst>
        </c:ser>
        <c:dLbls>
          <c:dLblPos val="outEnd"/>
          <c:showLegendKey val="0"/>
          <c:showVal val="1"/>
          <c:showCatName val="0"/>
          <c:showSerName val="0"/>
          <c:showPercent val="0"/>
          <c:showBubbleSize val="0"/>
        </c:dLbls>
        <c:gapWidth val="219"/>
        <c:overlap val="-27"/>
        <c:axId val="1173659359"/>
        <c:axId val="1125237135"/>
      </c:barChart>
      <c:catAx>
        <c:axId val="117365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25237135"/>
        <c:crosses val="autoZero"/>
        <c:auto val="1"/>
        <c:lblAlgn val="ctr"/>
        <c:lblOffset val="100"/>
        <c:noMultiLvlLbl val="0"/>
      </c:catAx>
      <c:valAx>
        <c:axId val="1125237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365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Tables!ptTop10Reviews.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1" i="0" u="none" strike="noStrike" baseline="0">
                <a:solidFill>
                  <a:sysClr val="windowText" lastClr="000000"/>
                </a:solidFill>
              </a:rPr>
              <a:t>Top 10 Products by Review 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Tables'!$A$33:$A$42</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Tables'!$B$33:$B$42</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4488-4496-8FD4-40E52AB1F0B5}"/>
            </c:ext>
          </c:extLst>
        </c:ser>
        <c:dLbls>
          <c:dLblPos val="outEnd"/>
          <c:showLegendKey val="0"/>
          <c:showVal val="1"/>
          <c:showCatName val="0"/>
          <c:showSerName val="0"/>
          <c:showPercent val="0"/>
          <c:showBubbleSize val="0"/>
        </c:dLbls>
        <c:gapWidth val="182"/>
        <c:axId val="1452779071"/>
        <c:axId val="1342684559"/>
      </c:barChart>
      <c:catAx>
        <c:axId val="145277907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2684559"/>
        <c:crosses val="autoZero"/>
        <c:auto val="1"/>
        <c:lblAlgn val="ctr"/>
        <c:lblOffset val="100"/>
        <c:noMultiLvlLbl val="0"/>
      </c:catAx>
      <c:valAx>
        <c:axId val="134268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Review</a:t>
                </a:r>
                <a:r>
                  <a:rPr lang="en-US" b="1" baseline="0">
                    <a:solidFill>
                      <a:sysClr val="windowText" lastClr="000000"/>
                    </a:solidFill>
                  </a:rPr>
                  <a:t> Count</a:t>
                </a:r>
                <a:endParaRPr lang="en-US" b="1">
                  <a:solidFill>
                    <a:sysClr val="windowText" lastClr="000000"/>
                  </a:solidFill>
                </a:endParaRPr>
              </a:p>
            </c:rich>
          </c:tx>
          <c:layout>
            <c:manualLayout>
              <c:xMode val="edge"/>
              <c:yMode val="edge"/>
              <c:x val="0.4190803197508004"/>
              <c:y val="0.867734843342389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277907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1" i="0" u="none" strike="noStrike" baseline="0">
                <a:solidFill>
                  <a:sysClr val="windowText" lastClr="000000"/>
                </a:solidFill>
              </a:rPr>
              <a:t>Rating vs Review</a:t>
            </a:r>
            <a:r>
              <a:rPr lang="en-US" sz="1400" b="1" i="0" u="none" strike="noStrike" baseline="0">
                <a:solidFill>
                  <a:sysClr val="windowText" lastClr="000000"/>
                </a:solidFill>
              </a:rPr>
              <a: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'Cleaned_Data table'!$F$2:$F$113</c:f>
              <c:numCache>
                <c:formatCode>0.0</c:formatCode>
                <c:ptCount val="112"/>
                <c:pt idx="0">
                  <c:v>2</c:v>
                </c:pt>
                <c:pt idx="1">
                  <c:v>2.1</c:v>
                </c:pt>
                <c:pt idx="2">
                  <c:v>2.1</c:v>
                </c:pt>
                <c:pt idx="3">
                  <c:v>2.2000000000000002</c:v>
                </c:pt>
                <c:pt idx="4">
                  <c:v>2.2000000000000002</c:v>
                </c:pt>
                <c:pt idx="5">
                  <c:v>2.2999999999999998</c:v>
                </c:pt>
                <c:pt idx="6">
                  <c:v>2.2999999999999998</c:v>
                </c:pt>
                <c:pt idx="7">
                  <c:v>2.5</c:v>
                </c:pt>
                <c:pt idx="8">
                  <c:v>2.6</c:v>
                </c:pt>
                <c:pt idx="9">
                  <c:v>2.7</c:v>
                </c:pt>
                <c:pt idx="10">
                  <c:v>2.8</c:v>
                </c:pt>
                <c:pt idx="11">
                  <c:v>2.9</c:v>
                </c:pt>
                <c:pt idx="12">
                  <c:v>3</c:v>
                </c:pt>
                <c:pt idx="13">
                  <c:v>3</c:v>
                </c:pt>
                <c:pt idx="14">
                  <c:v>3</c:v>
                </c:pt>
                <c:pt idx="15">
                  <c:v>3</c:v>
                </c:pt>
                <c:pt idx="16">
                  <c:v>3</c:v>
                </c:pt>
                <c:pt idx="17">
                  <c:v>3.3</c:v>
                </c:pt>
                <c:pt idx="18">
                  <c:v>3.8</c:v>
                </c:pt>
                <c:pt idx="19">
                  <c:v>3.8</c:v>
                </c:pt>
                <c:pt idx="20">
                  <c:v>3.8</c:v>
                </c:pt>
                <c:pt idx="22">
                  <c:v>4</c:v>
                </c:pt>
                <c:pt idx="23">
                  <c:v>4</c:v>
                </c:pt>
                <c:pt idx="24">
                  <c:v>4</c:v>
                </c:pt>
                <c:pt idx="25">
                  <c:v>4</c:v>
                </c:pt>
                <c:pt idx="26">
                  <c:v>4.0999999999999996</c:v>
                </c:pt>
                <c:pt idx="27">
                  <c:v>4.0999999999999996</c:v>
                </c:pt>
                <c:pt idx="28">
                  <c:v>4.0999999999999996</c:v>
                </c:pt>
                <c:pt idx="30">
                  <c:v>4.2</c:v>
                </c:pt>
                <c:pt idx="31">
                  <c:v>4.3</c:v>
                </c:pt>
                <c:pt idx="32">
                  <c:v>4.3</c:v>
                </c:pt>
                <c:pt idx="33">
                  <c:v>4.3</c:v>
                </c:pt>
                <c:pt idx="34">
                  <c:v>4.3</c:v>
                </c:pt>
                <c:pt idx="35">
                  <c:v>4.4000000000000004</c:v>
                </c:pt>
                <c:pt idx="36">
                  <c:v>4.5</c:v>
                </c:pt>
                <c:pt idx="37">
                  <c:v>4.5</c:v>
                </c:pt>
                <c:pt idx="38">
                  <c:v>4.5</c:v>
                </c:pt>
                <c:pt idx="59">
                  <c:v>4.5</c:v>
                </c:pt>
                <c:pt idx="60">
                  <c:v>4.5999999999999996</c:v>
                </c:pt>
                <c:pt idx="61">
                  <c:v>4.5999999999999996</c:v>
                </c:pt>
                <c:pt idx="62">
                  <c:v>4.5999999999999996</c:v>
                </c:pt>
                <c:pt idx="63">
                  <c:v>4.5999999999999996</c:v>
                </c:pt>
                <c:pt idx="64">
                  <c:v>4.5999999999999996</c:v>
                </c:pt>
                <c:pt idx="65">
                  <c:v>4.7</c:v>
                </c:pt>
                <c:pt idx="66">
                  <c:v>4.7</c:v>
                </c:pt>
                <c:pt idx="67">
                  <c:v>4.7</c:v>
                </c:pt>
                <c:pt idx="68">
                  <c:v>4.7</c:v>
                </c:pt>
                <c:pt idx="69">
                  <c:v>4.8</c:v>
                </c:pt>
                <c:pt idx="70">
                  <c:v>4.8</c:v>
                </c:pt>
                <c:pt idx="71">
                  <c:v>4.8</c:v>
                </c:pt>
                <c:pt idx="72">
                  <c:v>5</c:v>
                </c:pt>
                <c:pt idx="73">
                  <c:v>5</c:v>
                </c:pt>
                <c:pt idx="78">
                  <c:v>5</c:v>
                </c:pt>
                <c:pt idx="79">
                  <c:v>5</c:v>
                </c:pt>
                <c:pt idx="82">
                  <c:v>5</c:v>
                </c:pt>
                <c:pt idx="101">
                  <c:v>5</c:v>
                </c:pt>
                <c:pt idx="110">
                  <c:v>5</c:v>
                </c:pt>
              </c:numCache>
            </c:numRef>
          </c:xVal>
          <c:yVal>
            <c:numRef>
              <c:f>'Cleaned_Data table'!$E$2:$E$113</c:f>
              <c:numCache>
                <c:formatCode>0</c:formatCode>
                <c:ptCount val="112"/>
                <c:pt idx="0">
                  <c:v>1</c:v>
                </c:pt>
                <c:pt idx="1">
                  <c:v>13</c:v>
                </c:pt>
                <c:pt idx="2">
                  <c:v>7</c:v>
                </c:pt>
                <c:pt idx="3">
                  <c:v>6</c:v>
                </c:pt>
                <c:pt idx="4">
                  <c:v>6</c:v>
                </c:pt>
                <c:pt idx="5">
                  <c:v>7</c:v>
                </c:pt>
                <c:pt idx="6">
                  <c:v>6</c:v>
                </c:pt>
                <c:pt idx="7">
                  <c:v>6</c:v>
                </c:pt>
                <c:pt idx="8">
                  <c:v>17</c:v>
                </c:pt>
                <c:pt idx="9">
                  <c:v>15</c:v>
                </c:pt>
                <c:pt idx="10">
                  <c:v>69</c:v>
                </c:pt>
                <c:pt idx="11">
                  <c:v>16</c:v>
                </c:pt>
                <c:pt idx="12">
                  <c:v>10</c:v>
                </c:pt>
                <c:pt idx="13">
                  <c:v>5</c:v>
                </c:pt>
                <c:pt idx="14">
                  <c:v>5</c:v>
                </c:pt>
                <c:pt idx="15">
                  <c:v>5</c:v>
                </c:pt>
                <c:pt idx="16">
                  <c:v>1</c:v>
                </c:pt>
                <c:pt idx="17">
                  <c:v>13</c:v>
                </c:pt>
                <c:pt idx="18">
                  <c:v>5</c:v>
                </c:pt>
                <c:pt idx="19">
                  <c:v>12</c:v>
                </c:pt>
                <c:pt idx="20">
                  <c:v>13</c:v>
                </c:pt>
                <c:pt idx="22">
                  <c:v>15</c:v>
                </c:pt>
                <c:pt idx="23">
                  <c:v>2</c:v>
                </c:pt>
                <c:pt idx="24">
                  <c:v>6</c:v>
                </c:pt>
                <c:pt idx="25">
                  <c:v>1</c:v>
                </c:pt>
                <c:pt idx="26">
                  <c:v>14</c:v>
                </c:pt>
                <c:pt idx="27">
                  <c:v>12</c:v>
                </c:pt>
                <c:pt idx="28">
                  <c:v>20</c:v>
                </c:pt>
                <c:pt idx="30">
                  <c:v>9</c:v>
                </c:pt>
                <c:pt idx="31">
                  <c:v>7</c:v>
                </c:pt>
                <c:pt idx="32">
                  <c:v>9</c:v>
                </c:pt>
                <c:pt idx="33">
                  <c:v>9</c:v>
                </c:pt>
                <c:pt idx="34">
                  <c:v>36</c:v>
                </c:pt>
                <c:pt idx="35">
                  <c:v>14</c:v>
                </c:pt>
                <c:pt idx="36">
                  <c:v>2</c:v>
                </c:pt>
                <c:pt idx="37">
                  <c:v>6</c:v>
                </c:pt>
                <c:pt idx="38">
                  <c:v>32</c:v>
                </c:pt>
                <c:pt idx="59">
                  <c:v>2</c:v>
                </c:pt>
                <c:pt idx="60">
                  <c:v>24</c:v>
                </c:pt>
                <c:pt idx="61">
                  <c:v>55</c:v>
                </c:pt>
                <c:pt idx="62">
                  <c:v>5</c:v>
                </c:pt>
                <c:pt idx="63">
                  <c:v>44</c:v>
                </c:pt>
                <c:pt idx="64">
                  <c:v>49</c:v>
                </c:pt>
                <c:pt idx="65">
                  <c:v>7</c:v>
                </c:pt>
                <c:pt idx="66">
                  <c:v>39</c:v>
                </c:pt>
                <c:pt idx="67">
                  <c:v>12</c:v>
                </c:pt>
                <c:pt idx="68">
                  <c:v>20</c:v>
                </c:pt>
                <c:pt idx="69">
                  <c:v>5</c:v>
                </c:pt>
                <c:pt idx="70">
                  <c:v>5</c:v>
                </c:pt>
                <c:pt idx="71">
                  <c:v>12</c:v>
                </c:pt>
                <c:pt idx="72">
                  <c:v>2</c:v>
                </c:pt>
                <c:pt idx="73">
                  <c:v>2</c:v>
                </c:pt>
                <c:pt idx="78">
                  <c:v>3</c:v>
                </c:pt>
                <c:pt idx="79">
                  <c:v>1</c:v>
                </c:pt>
                <c:pt idx="82">
                  <c:v>2</c:v>
                </c:pt>
                <c:pt idx="101">
                  <c:v>1</c:v>
                </c:pt>
                <c:pt idx="110">
                  <c:v>1</c:v>
                </c:pt>
              </c:numCache>
            </c:numRef>
          </c:yVal>
          <c:smooth val="0"/>
          <c:extLst>
            <c:ext xmlns:c16="http://schemas.microsoft.com/office/drawing/2014/chart" uri="{C3380CC4-5D6E-409C-BE32-E72D297353CC}">
              <c16:uniqueId val="{00000001-EA2F-4755-81F5-CCBAC1E7A855}"/>
            </c:ext>
          </c:extLst>
        </c:ser>
        <c:dLbls>
          <c:showLegendKey val="0"/>
          <c:showVal val="0"/>
          <c:showCatName val="0"/>
          <c:showSerName val="0"/>
          <c:showPercent val="0"/>
          <c:showBubbleSize val="0"/>
        </c:dLbls>
        <c:axId val="37460192"/>
        <c:axId val="1125300495"/>
      </c:scatterChart>
      <c:valAx>
        <c:axId val="3746019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25300495"/>
        <c:crosses val="autoZero"/>
        <c:crossBetween val="midCat"/>
      </c:valAx>
      <c:valAx>
        <c:axId val="1125300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460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[Jumia_Product_Performance_Dashboard.xlsx]Analysis!PivotTable11</c:name>
    <c:fmtId val="1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Top 10 Products by Discount Percentage</a:t>
            </a:r>
            <a:endParaRPr lang="en-US" sz="1200" b="1">
              <a:solidFill>
                <a:sysClr val="windowText" lastClr="000000"/>
              </a:solidFill>
            </a:endParaRPr>
          </a:p>
        </c:rich>
      </c:tx>
      <c:layout>
        <c:manualLayout>
          <c:xMode val="edge"/>
          <c:yMode val="edge"/>
          <c:x val="0.11863798337240578"/>
          <c:y val="3.287669611762830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Analysis!$A$62:$A$71</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Analysis!$B$62:$B$71</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9270-4E8E-BF0C-315BF043DC29}"/>
            </c:ext>
          </c:extLst>
        </c:ser>
        <c:dLbls>
          <c:dLblPos val="outEnd"/>
          <c:showLegendKey val="0"/>
          <c:showVal val="1"/>
          <c:showCatName val="0"/>
          <c:showSerName val="0"/>
          <c:showPercent val="0"/>
          <c:showBubbleSize val="0"/>
        </c:dLbls>
        <c:gapWidth val="182"/>
        <c:axId val="244438431"/>
        <c:axId val="227878639"/>
      </c:barChart>
      <c:catAx>
        <c:axId val="2444384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7878639"/>
        <c:crosses val="autoZero"/>
        <c:auto val="1"/>
        <c:lblAlgn val="ctr"/>
        <c:lblOffset val="100"/>
        <c:noMultiLvlLbl val="0"/>
      </c:catAx>
      <c:valAx>
        <c:axId val="22787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Discount</a:t>
                </a:r>
                <a:r>
                  <a:rPr lang="en-US" b="1" baseline="0">
                    <a:solidFill>
                      <a:sysClr val="windowText" lastClr="000000"/>
                    </a:solidFill>
                  </a:rPr>
                  <a:t> %</a:t>
                </a:r>
                <a:endParaRPr lang="en-US" b="1">
                  <a:solidFill>
                    <a:sysClr val="windowText" lastClr="000000"/>
                  </a:solidFill>
                </a:endParaRPr>
              </a:p>
            </c:rich>
          </c:tx>
          <c:layout>
            <c:manualLayout>
              <c:xMode val="edge"/>
              <c:yMode val="edge"/>
              <c:x val="0.44793460192475942"/>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443843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[Jumia_Product_Performance_Dashboard.xlsx]Analysis!PivotTable14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10 Products by Ratings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Analysis!$A$88:$A$97</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Analysis!$B$88:$B$97</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DCB-4767-879C-521DA1427106}"/>
            </c:ext>
          </c:extLst>
        </c:ser>
        <c:dLbls>
          <c:dLblPos val="outEnd"/>
          <c:showLegendKey val="0"/>
          <c:showVal val="1"/>
          <c:showCatName val="0"/>
          <c:showSerName val="0"/>
          <c:showPercent val="0"/>
          <c:showBubbleSize val="0"/>
        </c:dLbls>
        <c:gapWidth val="182"/>
        <c:axId val="244368367"/>
        <c:axId val="227931919"/>
      </c:barChart>
      <c:catAx>
        <c:axId val="244368367"/>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7931919"/>
        <c:crosses val="autoZero"/>
        <c:auto val="1"/>
        <c:lblAlgn val="ctr"/>
        <c:lblOffset val="100"/>
        <c:noMultiLvlLbl val="0"/>
      </c:catAx>
      <c:valAx>
        <c:axId val="227931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Ratings</a:t>
                </a:r>
              </a:p>
            </c:rich>
          </c:tx>
          <c:layout>
            <c:manualLayout>
              <c:xMode val="edge"/>
              <c:yMode val="edge"/>
              <c:x val="0.4712224409448819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436836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Discount vs</a:t>
            </a:r>
            <a:r>
              <a:rPr lang="en-US" b="1" baseline="0">
                <a:solidFill>
                  <a:sysClr val="windowText" lastClr="000000"/>
                </a:solidFill>
              </a:rPr>
              <a:t> Reviews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 table'!$D$1</c:f>
              <c:strCache>
                <c:ptCount val="1"/>
                <c:pt idx="0">
                  <c:v>Discount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'Cleaned_Data table'!$D$2:$D$112</c:f>
              <c:numCache>
                <c:formatCode>0%</c:formatCode>
                <c:ptCount val="111"/>
                <c:pt idx="0">
                  <c:v>0.5</c:v>
                </c:pt>
                <c:pt idx="1">
                  <c:v>0.55000000000000004</c:v>
                </c:pt>
                <c:pt idx="2">
                  <c:v>0.47</c:v>
                </c:pt>
                <c:pt idx="3">
                  <c:v>0.45</c:v>
                </c:pt>
                <c:pt idx="4">
                  <c:v>0.47</c:v>
                </c:pt>
                <c:pt idx="5">
                  <c:v>0.5</c:v>
                </c:pt>
                <c:pt idx="6">
                  <c:v>0.43</c:v>
                </c:pt>
                <c:pt idx="7">
                  <c:v>0.13</c:v>
                </c:pt>
                <c:pt idx="8">
                  <c:v>0.45</c:v>
                </c:pt>
                <c:pt idx="9">
                  <c:v>0.52</c:v>
                </c:pt>
                <c:pt idx="10">
                  <c:v>0.49</c:v>
                </c:pt>
                <c:pt idx="11">
                  <c:v>0.22</c:v>
                </c:pt>
                <c:pt idx="12">
                  <c:v>0.54</c:v>
                </c:pt>
                <c:pt idx="13">
                  <c:v>0.39</c:v>
                </c:pt>
                <c:pt idx="14">
                  <c:v>0.28999999999999998</c:v>
                </c:pt>
                <c:pt idx="15">
                  <c:v>0.43</c:v>
                </c:pt>
                <c:pt idx="16">
                  <c:v>0.46</c:v>
                </c:pt>
                <c:pt idx="17">
                  <c:v>0.53</c:v>
                </c:pt>
                <c:pt idx="18">
                  <c:v>0.45</c:v>
                </c:pt>
                <c:pt idx="19">
                  <c:v>0.18</c:v>
                </c:pt>
                <c:pt idx="20">
                  <c:v>0.32</c:v>
                </c:pt>
                <c:pt idx="21">
                  <c:v>0.42</c:v>
                </c:pt>
                <c:pt idx="22">
                  <c:v>0.09</c:v>
                </c:pt>
                <c:pt idx="23">
                  <c:v>0.37</c:v>
                </c:pt>
                <c:pt idx="24">
                  <c:v>0.35</c:v>
                </c:pt>
                <c:pt idx="25">
                  <c:v>0.49</c:v>
                </c:pt>
                <c:pt idx="26">
                  <c:v>0.47</c:v>
                </c:pt>
                <c:pt idx="27">
                  <c:v>0.2</c:v>
                </c:pt>
                <c:pt idx="28">
                  <c:v>0.3</c:v>
                </c:pt>
                <c:pt idx="29">
                  <c:v>0.46</c:v>
                </c:pt>
                <c:pt idx="30">
                  <c:v>0.33</c:v>
                </c:pt>
                <c:pt idx="31">
                  <c:v>0.54</c:v>
                </c:pt>
                <c:pt idx="32">
                  <c:v>0.52</c:v>
                </c:pt>
                <c:pt idx="33">
                  <c:v>0.48</c:v>
                </c:pt>
                <c:pt idx="34">
                  <c:v>0.41</c:v>
                </c:pt>
                <c:pt idx="35">
                  <c:v>0.23</c:v>
                </c:pt>
                <c:pt idx="36">
                  <c:v>0.38</c:v>
                </c:pt>
                <c:pt idx="37">
                  <c:v>0.42</c:v>
                </c:pt>
                <c:pt idx="38">
                  <c:v>0.27</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0.38</c:v>
                </c:pt>
                <c:pt idx="60">
                  <c:v>0.25</c:v>
                </c:pt>
                <c:pt idx="61">
                  <c:v>0.24</c:v>
                </c:pt>
                <c:pt idx="62">
                  <c:v>0.19</c:v>
                </c:pt>
                <c:pt idx="63">
                  <c:v>0.49</c:v>
                </c:pt>
                <c:pt idx="64">
                  <c:v>0.35</c:v>
                </c:pt>
                <c:pt idx="65">
                  <c:v>0.37</c:v>
                </c:pt>
                <c:pt idx="66">
                  <c:v>0.34</c:v>
                </c:pt>
                <c:pt idx="67">
                  <c:v>0.34</c:v>
                </c:pt>
                <c:pt idx="68">
                  <c:v>0.27</c:v>
                </c:pt>
                <c:pt idx="69">
                  <c:v>0.26</c:v>
                </c:pt>
                <c:pt idx="70">
                  <c:v>0.55000000000000004</c:v>
                </c:pt>
                <c:pt idx="71">
                  <c:v>0.47</c:v>
                </c:pt>
                <c:pt idx="72">
                  <c:v>0.51</c:v>
                </c:pt>
                <c:pt idx="73">
                  <c:v>0.46</c:v>
                </c:pt>
                <c:pt idx="74">
                  <c:v>0.47</c:v>
                </c:pt>
                <c:pt idx="75">
                  <c:v>0.43</c:v>
                </c:pt>
                <c:pt idx="76">
                  <c:v>0.04</c:v>
                </c:pt>
                <c:pt idx="77">
                  <c:v>0.49</c:v>
                </c:pt>
                <c:pt idx="78">
                  <c:v>0.49</c:v>
                </c:pt>
                <c:pt idx="79">
                  <c:v>0.4</c:v>
                </c:pt>
                <c:pt idx="80">
                  <c:v>0.36</c:v>
                </c:pt>
                <c:pt idx="81">
                  <c:v>0.02</c:v>
                </c:pt>
                <c:pt idx="82">
                  <c:v>0.53</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0.49</c:v>
                </c:pt>
                <c:pt idx="102">
                  <c:v>0.41</c:v>
                </c:pt>
                <c:pt idx="103">
                  <c:v>0.01</c:v>
                </c:pt>
                <c:pt idx="104">
                  <c:v>0.24</c:v>
                </c:pt>
                <c:pt idx="105">
                  <c:v>0.34</c:v>
                </c:pt>
                <c:pt idx="106">
                  <c:v>0.34</c:v>
                </c:pt>
                <c:pt idx="107">
                  <c:v>0.02</c:v>
                </c:pt>
                <c:pt idx="108">
                  <c:v>0.02</c:v>
                </c:pt>
                <c:pt idx="109">
                  <c:v>0.64</c:v>
                </c:pt>
                <c:pt idx="110">
                  <c:v>0.21</c:v>
                </c:pt>
              </c:numCache>
            </c:numRef>
          </c:xVal>
          <c:yVal>
            <c:numRef>
              <c:f>'Cleaned_Data table'!$E$2:$E$112</c:f>
              <c:numCache>
                <c:formatCode>0</c:formatCode>
                <c:ptCount val="111"/>
                <c:pt idx="0">
                  <c:v>1</c:v>
                </c:pt>
                <c:pt idx="1">
                  <c:v>13</c:v>
                </c:pt>
                <c:pt idx="2">
                  <c:v>7</c:v>
                </c:pt>
                <c:pt idx="3">
                  <c:v>6</c:v>
                </c:pt>
                <c:pt idx="4">
                  <c:v>6</c:v>
                </c:pt>
                <c:pt idx="5">
                  <c:v>7</c:v>
                </c:pt>
                <c:pt idx="6">
                  <c:v>6</c:v>
                </c:pt>
                <c:pt idx="7">
                  <c:v>6</c:v>
                </c:pt>
                <c:pt idx="8">
                  <c:v>17</c:v>
                </c:pt>
                <c:pt idx="9">
                  <c:v>15</c:v>
                </c:pt>
                <c:pt idx="10">
                  <c:v>69</c:v>
                </c:pt>
                <c:pt idx="11">
                  <c:v>16</c:v>
                </c:pt>
                <c:pt idx="12">
                  <c:v>10</c:v>
                </c:pt>
                <c:pt idx="13">
                  <c:v>5</c:v>
                </c:pt>
                <c:pt idx="14">
                  <c:v>5</c:v>
                </c:pt>
                <c:pt idx="15">
                  <c:v>5</c:v>
                </c:pt>
                <c:pt idx="16">
                  <c:v>1</c:v>
                </c:pt>
                <c:pt idx="17">
                  <c:v>13</c:v>
                </c:pt>
                <c:pt idx="18">
                  <c:v>5</c:v>
                </c:pt>
                <c:pt idx="19">
                  <c:v>12</c:v>
                </c:pt>
                <c:pt idx="20">
                  <c:v>13</c:v>
                </c:pt>
                <c:pt idx="22">
                  <c:v>15</c:v>
                </c:pt>
                <c:pt idx="23">
                  <c:v>2</c:v>
                </c:pt>
                <c:pt idx="24">
                  <c:v>6</c:v>
                </c:pt>
                <c:pt idx="25">
                  <c:v>1</c:v>
                </c:pt>
                <c:pt idx="26">
                  <c:v>14</c:v>
                </c:pt>
                <c:pt idx="27">
                  <c:v>12</c:v>
                </c:pt>
                <c:pt idx="28">
                  <c:v>20</c:v>
                </c:pt>
                <c:pt idx="30">
                  <c:v>9</c:v>
                </c:pt>
                <c:pt idx="31">
                  <c:v>7</c:v>
                </c:pt>
                <c:pt idx="32">
                  <c:v>9</c:v>
                </c:pt>
                <c:pt idx="33">
                  <c:v>9</c:v>
                </c:pt>
                <c:pt idx="34">
                  <c:v>36</c:v>
                </c:pt>
                <c:pt idx="35">
                  <c:v>14</c:v>
                </c:pt>
                <c:pt idx="36">
                  <c:v>2</c:v>
                </c:pt>
                <c:pt idx="37">
                  <c:v>6</c:v>
                </c:pt>
                <c:pt idx="38">
                  <c:v>32</c:v>
                </c:pt>
                <c:pt idx="59">
                  <c:v>2</c:v>
                </c:pt>
                <c:pt idx="60">
                  <c:v>24</c:v>
                </c:pt>
                <c:pt idx="61">
                  <c:v>55</c:v>
                </c:pt>
                <c:pt idx="62">
                  <c:v>5</c:v>
                </c:pt>
                <c:pt idx="63">
                  <c:v>44</c:v>
                </c:pt>
                <c:pt idx="64">
                  <c:v>49</c:v>
                </c:pt>
                <c:pt idx="65">
                  <c:v>7</c:v>
                </c:pt>
                <c:pt idx="66">
                  <c:v>39</c:v>
                </c:pt>
                <c:pt idx="67">
                  <c:v>12</c:v>
                </c:pt>
                <c:pt idx="68">
                  <c:v>20</c:v>
                </c:pt>
                <c:pt idx="69">
                  <c:v>5</c:v>
                </c:pt>
                <c:pt idx="70">
                  <c:v>5</c:v>
                </c:pt>
                <c:pt idx="71">
                  <c:v>12</c:v>
                </c:pt>
                <c:pt idx="72">
                  <c:v>2</c:v>
                </c:pt>
                <c:pt idx="73">
                  <c:v>2</c:v>
                </c:pt>
                <c:pt idx="78">
                  <c:v>3</c:v>
                </c:pt>
                <c:pt idx="79">
                  <c:v>1</c:v>
                </c:pt>
                <c:pt idx="82">
                  <c:v>2</c:v>
                </c:pt>
                <c:pt idx="101">
                  <c:v>1</c:v>
                </c:pt>
                <c:pt idx="110">
                  <c:v>1</c:v>
                </c:pt>
              </c:numCache>
            </c:numRef>
          </c:yVal>
          <c:smooth val="0"/>
          <c:extLst>
            <c:ext xmlns:c16="http://schemas.microsoft.com/office/drawing/2014/chart" uri="{C3380CC4-5D6E-409C-BE32-E72D297353CC}">
              <c16:uniqueId val="{00000001-233D-4F4F-A040-32D5A162812D}"/>
            </c:ext>
          </c:extLst>
        </c:ser>
        <c:dLbls>
          <c:showLegendKey val="0"/>
          <c:showVal val="0"/>
          <c:showCatName val="0"/>
          <c:showSerName val="0"/>
          <c:showPercent val="0"/>
          <c:showBubbleSize val="0"/>
        </c:dLbls>
        <c:axId val="1285919327"/>
        <c:axId val="227837359"/>
      </c:scatterChart>
      <c:valAx>
        <c:axId val="1285919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7837359"/>
        <c:crosses val="autoZero"/>
        <c:crossBetween val="midCat"/>
      </c:valAx>
      <c:valAx>
        <c:axId val="227837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85919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Price vs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KE"/>
        </a:p>
      </c:txPr>
    </c:title>
    <c:autoTitleDeleted val="0"/>
    <c:plotArea>
      <c:layout/>
      <c:barChart>
        <c:barDir val="col"/>
        <c:grouping val="clustered"/>
        <c:varyColors val="0"/>
        <c:ser>
          <c:idx val="0"/>
          <c:order val="0"/>
          <c:tx>
            <c:strRef>
              <c:f>'Cleaned_Data table'!$F$1</c:f>
              <c:strCache>
                <c:ptCount val="1"/>
                <c:pt idx="0">
                  <c:v>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trendlineLbl>
          </c:trendline>
          <c:cat>
            <c:numRef>
              <c:f>'Cleaned_Data table'!$B$2:$B$112</c:f>
              <c:numCache>
                <c:formatCode>"KSh "\ #,##0.00</c:formatCode>
                <c:ptCount val="111"/>
                <c:pt idx="0">
                  <c:v>450</c:v>
                </c:pt>
                <c:pt idx="1">
                  <c:v>2115</c:v>
                </c:pt>
                <c:pt idx="2">
                  <c:v>1570</c:v>
                </c:pt>
                <c:pt idx="3">
                  <c:v>990</c:v>
                </c:pt>
                <c:pt idx="4">
                  <c:v>968</c:v>
                </c:pt>
                <c:pt idx="5">
                  <c:v>1000</c:v>
                </c:pt>
                <c:pt idx="6">
                  <c:v>345</c:v>
                </c:pt>
                <c:pt idx="7">
                  <c:v>2170</c:v>
                </c:pt>
                <c:pt idx="8">
                  <c:v>382</c:v>
                </c:pt>
                <c:pt idx="9">
                  <c:v>325</c:v>
                </c:pt>
                <c:pt idx="10">
                  <c:v>445</c:v>
                </c:pt>
                <c:pt idx="11">
                  <c:v>1220</c:v>
                </c:pt>
                <c:pt idx="12">
                  <c:v>458</c:v>
                </c:pt>
                <c:pt idx="13">
                  <c:v>3750</c:v>
                </c:pt>
                <c:pt idx="14">
                  <c:v>2300</c:v>
                </c:pt>
                <c:pt idx="15">
                  <c:v>509</c:v>
                </c:pt>
                <c:pt idx="16">
                  <c:v>1189</c:v>
                </c:pt>
                <c:pt idx="17">
                  <c:v>38</c:v>
                </c:pt>
                <c:pt idx="18">
                  <c:v>1600</c:v>
                </c:pt>
                <c:pt idx="19">
                  <c:v>2880</c:v>
                </c:pt>
                <c:pt idx="20">
                  <c:v>1350</c:v>
                </c:pt>
                <c:pt idx="21">
                  <c:v>1860</c:v>
                </c:pt>
                <c:pt idx="22">
                  <c:v>2999</c:v>
                </c:pt>
                <c:pt idx="23">
                  <c:v>988</c:v>
                </c:pt>
                <c:pt idx="24">
                  <c:v>880</c:v>
                </c:pt>
                <c:pt idx="25">
                  <c:v>330</c:v>
                </c:pt>
                <c:pt idx="26">
                  <c:v>527</c:v>
                </c:pt>
                <c:pt idx="27">
                  <c:v>799</c:v>
                </c:pt>
                <c:pt idx="28">
                  <c:v>1758</c:v>
                </c:pt>
                <c:pt idx="29">
                  <c:v>2200</c:v>
                </c:pt>
                <c:pt idx="30">
                  <c:v>1680</c:v>
                </c:pt>
                <c:pt idx="31">
                  <c:v>2048</c:v>
                </c:pt>
                <c:pt idx="32">
                  <c:v>185</c:v>
                </c:pt>
                <c:pt idx="33">
                  <c:v>1820</c:v>
                </c:pt>
                <c:pt idx="34">
                  <c:v>389</c:v>
                </c:pt>
                <c:pt idx="35">
                  <c:v>1650</c:v>
                </c:pt>
                <c:pt idx="36">
                  <c:v>950</c:v>
                </c:pt>
                <c:pt idx="37">
                  <c:v>501</c:v>
                </c:pt>
                <c:pt idx="38">
                  <c:v>1980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1800</c:v>
                </c:pt>
                <c:pt idx="60">
                  <c:v>2199</c:v>
                </c:pt>
                <c:pt idx="61">
                  <c:v>2319</c:v>
                </c:pt>
                <c:pt idx="62">
                  <c:v>2999</c:v>
                </c:pt>
                <c:pt idx="63">
                  <c:v>998</c:v>
                </c:pt>
                <c:pt idx="64">
                  <c:v>420</c:v>
                </c:pt>
                <c:pt idx="65">
                  <c:v>1580</c:v>
                </c:pt>
                <c:pt idx="66">
                  <c:v>990</c:v>
                </c:pt>
                <c:pt idx="67">
                  <c:v>980</c:v>
                </c:pt>
                <c:pt idx="68">
                  <c:v>1940</c:v>
                </c:pt>
                <c:pt idx="69">
                  <c:v>1740</c:v>
                </c:pt>
                <c:pt idx="70">
                  <c:v>1274</c:v>
                </c:pt>
                <c:pt idx="71">
                  <c:v>552</c:v>
                </c:pt>
                <c:pt idx="72">
                  <c:v>332</c:v>
                </c:pt>
                <c:pt idx="73">
                  <c:v>195</c:v>
                </c:pt>
                <c:pt idx="74">
                  <c:v>790</c:v>
                </c:pt>
                <c:pt idx="75">
                  <c:v>690</c:v>
                </c:pt>
                <c:pt idx="76">
                  <c:v>1732</c:v>
                </c:pt>
                <c:pt idx="77">
                  <c:v>230</c:v>
                </c:pt>
                <c:pt idx="78">
                  <c:v>2025</c:v>
                </c:pt>
                <c:pt idx="79">
                  <c:v>1620</c:v>
                </c:pt>
                <c:pt idx="80">
                  <c:v>1460</c:v>
                </c:pt>
                <c:pt idx="81">
                  <c:v>1666</c:v>
                </c:pt>
                <c:pt idx="82">
                  <c:v>171</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979</c:v>
                </c:pt>
                <c:pt idx="102">
                  <c:v>1420</c:v>
                </c:pt>
                <c:pt idx="103">
                  <c:v>1875</c:v>
                </c:pt>
                <c:pt idx="104">
                  <c:v>198</c:v>
                </c:pt>
                <c:pt idx="105">
                  <c:v>1150</c:v>
                </c:pt>
                <c:pt idx="106">
                  <c:v>1190</c:v>
                </c:pt>
                <c:pt idx="107">
                  <c:v>1658</c:v>
                </c:pt>
                <c:pt idx="108">
                  <c:v>1768</c:v>
                </c:pt>
                <c:pt idx="109">
                  <c:v>199</c:v>
                </c:pt>
                <c:pt idx="110">
                  <c:v>3640</c:v>
                </c:pt>
              </c:numCache>
            </c:numRef>
          </c:cat>
          <c:val>
            <c:numRef>
              <c:f>'Cleaned_Data table'!$F$2:$F$112</c:f>
              <c:numCache>
                <c:formatCode>0.0</c:formatCode>
                <c:ptCount val="111"/>
                <c:pt idx="0">
                  <c:v>2</c:v>
                </c:pt>
                <c:pt idx="1">
                  <c:v>2.1</c:v>
                </c:pt>
                <c:pt idx="2">
                  <c:v>2.1</c:v>
                </c:pt>
                <c:pt idx="3">
                  <c:v>2.2000000000000002</c:v>
                </c:pt>
                <c:pt idx="4">
                  <c:v>2.2000000000000002</c:v>
                </c:pt>
                <c:pt idx="5">
                  <c:v>2.2999999999999998</c:v>
                </c:pt>
                <c:pt idx="6">
                  <c:v>2.2999999999999998</c:v>
                </c:pt>
                <c:pt idx="7">
                  <c:v>2.5</c:v>
                </c:pt>
                <c:pt idx="8">
                  <c:v>2.6</c:v>
                </c:pt>
                <c:pt idx="9">
                  <c:v>2.7</c:v>
                </c:pt>
                <c:pt idx="10">
                  <c:v>2.8</c:v>
                </c:pt>
                <c:pt idx="11">
                  <c:v>2.9</c:v>
                </c:pt>
                <c:pt idx="12">
                  <c:v>3</c:v>
                </c:pt>
                <c:pt idx="13">
                  <c:v>3</c:v>
                </c:pt>
                <c:pt idx="14">
                  <c:v>3</c:v>
                </c:pt>
                <c:pt idx="15">
                  <c:v>3</c:v>
                </c:pt>
                <c:pt idx="16">
                  <c:v>3</c:v>
                </c:pt>
                <c:pt idx="17">
                  <c:v>3.3</c:v>
                </c:pt>
                <c:pt idx="18">
                  <c:v>3.8</c:v>
                </c:pt>
                <c:pt idx="19">
                  <c:v>3.8</c:v>
                </c:pt>
                <c:pt idx="20">
                  <c:v>3.8</c:v>
                </c:pt>
                <c:pt idx="22">
                  <c:v>4</c:v>
                </c:pt>
                <c:pt idx="23">
                  <c:v>4</c:v>
                </c:pt>
                <c:pt idx="24">
                  <c:v>4</c:v>
                </c:pt>
                <c:pt idx="25">
                  <c:v>4</c:v>
                </c:pt>
                <c:pt idx="26">
                  <c:v>4.0999999999999996</c:v>
                </c:pt>
                <c:pt idx="27">
                  <c:v>4.0999999999999996</c:v>
                </c:pt>
                <c:pt idx="28">
                  <c:v>4.0999999999999996</c:v>
                </c:pt>
                <c:pt idx="30">
                  <c:v>4.2</c:v>
                </c:pt>
                <c:pt idx="31">
                  <c:v>4.3</c:v>
                </c:pt>
                <c:pt idx="32">
                  <c:v>4.3</c:v>
                </c:pt>
                <c:pt idx="33">
                  <c:v>4.3</c:v>
                </c:pt>
                <c:pt idx="34">
                  <c:v>4.3</c:v>
                </c:pt>
                <c:pt idx="35">
                  <c:v>4.4000000000000004</c:v>
                </c:pt>
                <c:pt idx="36">
                  <c:v>4.5</c:v>
                </c:pt>
                <c:pt idx="37">
                  <c:v>4.5</c:v>
                </c:pt>
                <c:pt idx="38">
                  <c:v>4.5</c:v>
                </c:pt>
                <c:pt idx="59">
                  <c:v>4.5</c:v>
                </c:pt>
                <c:pt idx="60">
                  <c:v>4.5999999999999996</c:v>
                </c:pt>
                <c:pt idx="61">
                  <c:v>4.5999999999999996</c:v>
                </c:pt>
                <c:pt idx="62">
                  <c:v>4.5999999999999996</c:v>
                </c:pt>
                <c:pt idx="63">
                  <c:v>4.5999999999999996</c:v>
                </c:pt>
                <c:pt idx="64">
                  <c:v>4.5999999999999996</c:v>
                </c:pt>
                <c:pt idx="65">
                  <c:v>4.7</c:v>
                </c:pt>
                <c:pt idx="66">
                  <c:v>4.7</c:v>
                </c:pt>
                <c:pt idx="67">
                  <c:v>4.7</c:v>
                </c:pt>
                <c:pt idx="68">
                  <c:v>4.7</c:v>
                </c:pt>
                <c:pt idx="69">
                  <c:v>4.8</c:v>
                </c:pt>
                <c:pt idx="70">
                  <c:v>4.8</c:v>
                </c:pt>
                <c:pt idx="71">
                  <c:v>4.8</c:v>
                </c:pt>
                <c:pt idx="72">
                  <c:v>5</c:v>
                </c:pt>
                <c:pt idx="73">
                  <c:v>5</c:v>
                </c:pt>
                <c:pt idx="78">
                  <c:v>5</c:v>
                </c:pt>
                <c:pt idx="79">
                  <c:v>5</c:v>
                </c:pt>
                <c:pt idx="82">
                  <c:v>5</c:v>
                </c:pt>
                <c:pt idx="101">
                  <c:v>5</c:v>
                </c:pt>
                <c:pt idx="110">
                  <c:v>5</c:v>
                </c:pt>
              </c:numCache>
            </c:numRef>
          </c:val>
          <c:extLst>
            <c:ext xmlns:c16="http://schemas.microsoft.com/office/drawing/2014/chart" uri="{C3380CC4-5D6E-409C-BE32-E72D297353CC}">
              <c16:uniqueId val="{00000001-F76F-489C-AC78-E9481FB69BB5}"/>
            </c:ext>
          </c:extLst>
        </c:ser>
        <c:dLbls>
          <c:showLegendKey val="0"/>
          <c:showVal val="0"/>
          <c:showCatName val="0"/>
          <c:showSerName val="0"/>
          <c:showPercent val="0"/>
          <c:showBubbleSize val="0"/>
        </c:dLbls>
        <c:gapWidth val="100"/>
        <c:overlap val="-24"/>
        <c:axId val="1286012127"/>
        <c:axId val="228003919"/>
      </c:barChart>
      <c:catAx>
        <c:axId val="1286012127"/>
        <c:scaling>
          <c:orientation val="minMax"/>
        </c:scaling>
        <c:delete val="0"/>
        <c:axPos val="b"/>
        <c:numFmt formatCode="&quot;KSh &quot;\ #,##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228003919"/>
        <c:crosses val="autoZero"/>
        <c:auto val="1"/>
        <c:lblAlgn val="ctr"/>
        <c:lblOffset val="100"/>
        <c:noMultiLvlLbl val="0"/>
      </c:catAx>
      <c:valAx>
        <c:axId val="228003919"/>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128601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Discount Mix</a:t>
            </a:r>
          </a:p>
        </c:rich>
      </c:tx>
      <c:layout>
        <c:manualLayout>
          <c:xMode val="edge"/>
          <c:yMode val="edge"/>
          <c:x val="0.33496264613468629"/>
          <c:y val="3.79660773739261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Tables'!$I$4:$I$7</c:f>
              <c:strCache>
                <c:ptCount val="3"/>
                <c:pt idx="0">
                  <c:v>Medium Discount</c:v>
                </c:pt>
                <c:pt idx="1">
                  <c:v>Low Discount</c:v>
                </c:pt>
                <c:pt idx="2">
                  <c:v>High Discount</c:v>
                </c:pt>
              </c:strCache>
            </c:strRef>
          </c:cat>
          <c:val>
            <c:numRef>
              <c:f>'Pivot Tables'!$J$4:$J$7</c:f>
              <c:numCache>
                <c:formatCode>General</c:formatCode>
                <c:ptCount val="3"/>
                <c:pt idx="0">
                  <c:v>31</c:v>
                </c:pt>
                <c:pt idx="1">
                  <c:v>19</c:v>
                </c:pt>
                <c:pt idx="2">
                  <c:v>62</c:v>
                </c:pt>
              </c:numCache>
            </c:numRef>
          </c:val>
          <c:extLst>
            <c:ext xmlns:c16="http://schemas.microsoft.com/office/drawing/2014/chart" uri="{C3380CC4-5D6E-409C-BE32-E72D297353CC}">
              <c16:uniqueId val="{00000000-1D9A-4EF2-BEFD-767D0F751C8A}"/>
            </c:ext>
          </c:extLst>
        </c:ser>
        <c:dLbls>
          <c:showLegendKey val="0"/>
          <c:showVal val="0"/>
          <c:showCatName val="0"/>
          <c:showSerName val="0"/>
          <c:showPercent val="0"/>
          <c:showBubbleSize val="0"/>
        </c:dLbls>
        <c:gapWidth val="219"/>
        <c:overlap val="-27"/>
        <c:axId val="1445637263"/>
        <c:axId val="228073999"/>
      </c:barChart>
      <c:catAx>
        <c:axId val="144563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8073999"/>
        <c:crosses val="autoZero"/>
        <c:auto val="1"/>
        <c:lblAlgn val="ctr"/>
        <c:lblOffset val="100"/>
        <c:noMultiLvlLbl val="0"/>
      </c:catAx>
      <c:valAx>
        <c:axId val="22807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4563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Rating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Tables'!$F$19:$F$23</c:f>
              <c:strCache>
                <c:ptCount val="4"/>
                <c:pt idx="0">
                  <c:v>Poor</c:v>
                </c:pt>
                <c:pt idx="1">
                  <c:v>Missing</c:v>
                </c:pt>
                <c:pt idx="2">
                  <c:v>Excellent</c:v>
                </c:pt>
                <c:pt idx="3">
                  <c:v>Average</c:v>
                </c:pt>
              </c:strCache>
            </c:strRef>
          </c:cat>
          <c:val>
            <c:numRef>
              <c:f>'Pivot Tables'!$G$19:$G$23</c:f>
              <c:numCache>
                <c:formatCode>0</c:formatCode>
                <c:ptCount val="4"/>
                <c:pt idx="0">
                  <c:v>12</c:v>
                </c:pt>
                <c:pt idx="1">
                  <c:v>55</c:v>
                </c:pt>
                <c:pt idx="2">
                  <c:v>19</c:v>
                </c:pt>
                <c:pt idx="3">
                  <c:v>26</c:v>
                </c:pt>
              </c:numCache>
            </c:numRef>
          </c:val>
          <c:extLst>
            <c:ext xmlns:c16="http://schemas.microsoft.com/office/drawing/2014/chart" uri="{C3380CC4-5D6E-409C-BE32-E72D297353CC}">
              <c16:uniqueId val="{00000000-0F37-468F-BECB-DB86D11E4E76}"/>
            </c:ext>
          </c:extLst>
        </c:ser>
        <c:dLbls>
          <c:dLblPos val="outEnd"/>
          <c:showLegendKey val="0"/>
          <c:showVal val="1"/>
          <c:showCatName val="0"/>
          <c:showSerName val="0"/>
          <c:showPercent val="0"/>
          <c:showBubbleSize val="0"/>
        </c:dLbls>
        <c:gapWidth val="219"/>
        <c:overlap val="-27"/>
        <c:axId val="1445725887"/>
        <c:axId val="227932879"/>
      </c:barChart>
      <c:catAx>
        <c:axId val="144572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7932879"/>
        <c:crosses val="autoZero"/>
        <c:auto val="1"/>
        <c:lblAlgn val="ctr"/>
        <c:lblOffset val="100"/>
        <c:noMultiLvlLbl val="0"/>
      </c:catAx>
      <c:valAx>
        <c:axId val="227932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4572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[Jumia_Product_Performance_Dashboard.xlsx]Pivot Tables!ptChartDiscountReviews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sz="1400" b="1" i="0" u="none" strike="noStrike" baseline="0">
                <a:solidFill>
                  <a:sysClr val="windowText" lastClr="000000"/>
                </a:solidFill>
                <a:effectLst/>
              </a:rPr>
              <a:t>Engagement by </a:t>
            </a:r>
            <a:r>
              <a:rPr lang="en-US" sz="1400" b="1" i="0" u="none" strike="noStrike" baseline="0">
                <a:solidFill>
                  <a:sysClr val="windowText" lastClr="000000"/>
                </a:solidFill>
                <a:effectLst/>
              </a:rPr>
              <a:t>D</a:t>
            </a:r>
            <a:r>
              <a:rPr lang="en-KE" sz="1400" b="1" i="0" u="none" strike="noStrike" baseline="0">
                <a:solidFill>
                  <a:sysClr val="windowText" lastClr="000000"/>
                </a:solidFill>
                <a:effectLst/>
              </a:rPr>
              <a:t>iscount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Tables'!$F$4:$F$7</c:f>
              <c:strCache>
                <c:ptCount val="3"/>
                <c:pt idx="0">
                  <c:v>Low Discount</c:v>
                </c:pt>
                <c:pt idx="1">
                  <c:v>Medium Discount</c:v>
                </c:pt>
                <c:pt idx="2">
                  <c:v>High Discount</c:v>
                </c:pt>
              </c:strCache>
            </c:strRef>
          </c:cat>
          <c:val>
            <c:numRef>
              <c:f>'Pivot Tables'!$G$4:$G$7</c:f>
              <c:numCache>
                <c:formatCode>0</c:formatCode>
                <c:ptCount val="3"/>
                <c:pt idx="0">
                  <c:v>10</c:v>
                </c:pt>
                <c:pt idx="1">
                  <c:v>15.409090909090908</c:v>
                </c:pt>
                <c:pt idx="2">
                  <c:v>11.133333333333333</c:v>
                </c:pt>
              </c:numCache>
            </c:numRef>
          </c:val>
          <c:extLst>
            <c:ext xmlns:c16="http://schemas.microsoft.com/office/drawing/2014/chart" uri="{C3380CC4-5D6E-409C-BE32-E72D297353CC}">
              <c16:uniqueId val="{00000000-6562-4722-880B-114377CB4F98}"/>
            </c:ext>
          </c:extLst>
        </c:ser>
        <c:dLbls>
          <c:showLegendKey val="0"/>
          <c:showVal val="0"/>
          <c:showCatName val="0"/>
          <c:showSerName val="0"/>
          <c:showPercent val="0"/>
          <c:showBubbleSize val="0"/>
        </c:dLbls>
        <c:gapWidth val="219"/>
        <c:overlap val="-27"/>
        <c:axId val="1445661855"/>
        <c:axId val="227896399"/>
      </c:barChart>
      <c:catAx>
        <c:axId val="14456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27896399"/>
        <c:crosses val="autoZero"/>
        <c:auto val="1"/>
        <c:lblAlgn val="ctr"/>
        <c:lblOffset val="100"/>
        <c:noMultiLvlLbl val="0"/>
      </c:catAx>
      <c:valAx>
        <c:axId val="227896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4566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520701</xdr:colOff>
      <xdr:row>24</xdr:row>
      <xdr:rowOff>177800</xdr:rowOff>
    </xdr:from>
    <xdr:to>
      <xdr:col>4</xdr:col>
      <xdr:colOff>476250</xdr:colOff>
      <xdr:row>35</xdr:row>
      <xdr:rowOff>127000</xdr:rowOff>
    </xdr:to>
    <xdr:graphicFrame macro="">
      <xdr:nvGraphicFramePr>
        <xdr:cNvPr id="2" name="Chart 1">
          <a:extLst>
            <a:ext uri="{FF2B5EF4-FFF2-40B4-BE49-F238E27FC236}">
              <a16:creationId xmlns:a16="http://schemas.microsoft.com/office/drawing/2014/main" id="{354EE4CF-150F-41D3-8973-8C5424E4B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694193</xdr:colOff>
      <xdr:row>24</xdr:row>
      <xdr:rowOff>183647</xdr:rowOff>
    </xdr:from>
    <xdr:to>
      <xdr:col>6</xdr:col>
      <xdr:colOff>607231</xdr:colOff>
      <xdr:row>35</xdr:row>
      <xdr:rowOff>125736</xdr:rowOff>
    </xdr:to>
    <xdr:graphicFrame macro="">
      <xdr:nvGraphicFramePr>
        <xdr:cNvPr id="3" name="Chart 2">
          <a:extLst>
            <a:ext uri="{FF2B5EF4-FFF2-40B4-BE49-F238E27FC236}">
              <a16:creationId xmlns:a16="http://schemas.microsoft.com/office/drawing/2014/main" id="{D84471F5-4F55-40B9-A9D3-3B13E8DF4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15876</xdr:colOff>
      <xdr:row>3</xdr:row>
      <xdr:rowOff>173037</xdr:rowOff>
    </xdr:from>
    <xdr:to>
      <xdr:col>2</xdr:col>
      <xdr:colOff>571501</xdr:colOff>
      <xdr:row>8</xdr:row>
      <xdr:rowOff>39687</xdr:rowOff>
    </xdr:to>
    <xdr:sp macro="" textlink="Dashboard!S3">
      <xdr:nvSpPr>
        <xdr:cNvPr id="2" name="Rectangle: Rounded Corners 1">
          <a:extLst>
            <a:ext uri="{FF2B5EF4-FFF2-40B4-BE49-F238E27FC236}">
              <a16:creationId xmlns:a16="http://schemas.microsoft.com/office/drawing/2014/main" id="{4BF360CE-25A9-D406-3C03-FE2C0E0176F1}"/>
            </a:ext>
          </a:extLst>
        </xdr:cNvPr>
        <xdr:cNvSpPr/>
      </xdr:nvSpPr>
      <xdr:spPr>
        <a:xfrm>
          <a:off x="15876" y="1046162"/>
          <a:ext cx="1778000" cy="77946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Aptos Narrow"/>
            </a:rPr>
            <a:t>Total Products</a:t>
          </a:r>
        </a:p>
        <a:p>
          <a:pPr algn="l"/>
          <a:fld id="{EAE98890-BC77-4963-856D-2C6B55A8953C}" type="TxLink">
            <a:rPr lang="en-US" sz="1800" b="1" i="0" u="none" strike="noStrike">
              <a:solidFill>
                <a:schemeClr val="bg1"/>
              </a:solidFill>
              <a:latin typeface="Aptos Narrow"/>
            </a:rPr>
            <a:pPr algn="l"/>
            <a:t>112</a:t>
          </a:fld>
          <a:endParaRPr lang="en-KE" sz="1800" b="1">
            <a:solidFill>
              <a:schemeClr val="bg1"/>
            </a:solidFill>
          </a:endParaRPr>
        </a:p>
      </xdr:txBody>
    </xdr:sp>
    <xdr:clientData/>
  </xdr:twoCellAnchor>
  <xdr:twoCellAnchor>
    <xdr:from>
      <xdr:col>2</xdr:col>
      <xdr:colOff>601663</xdr:colOff>
      <xdr:row>3</xdr:row>
      <xdr:rowOff>179386</xdr:rowOff>
    </xdr:from>
    <xdr:to>
      <xdr:col>6</xdr:col>
      <xdr:colOff>66675</xdr:colOff>
      <xdr:row>8</xdr:row>
      <xdr:rowOff>39686</xdr:rowOff>
    </xdr:to>
    <xdr:sp macro="" textlink="Dashboard!S4">
      <xdr:nvSpPr>
        <xdr:cNvPr id="6" name="Rectangle: Rounded Corners 5">
          <a:extLst>
            <a:ext uri="{FF2B5EF4-FFF2-40B4-BE49-F238E27FC236}">
              <a16:creationId xmlns:a16="http://schemas.microsoft.com/office/drawing/2014/main" id="{D6138BE0-EBDB-4D0B-BDD0-D2F3E61E4A21}"/>
            </a:ext>
          </a:extLst>
        </xdr:cNvPr>
        <xdr:cNvSpPr/>
      </xdr:nvSpPr>
      <xdr:spPr>
        <a:xfrm>
          <a:off x="1824038" y="1052511"/>
          <a:ext cx="1909762" cy="77311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Aptos Narrow"/>
            </a:rPr>
            <a:t>Average Price</a:t>
          </a:r>
        </a:p>
        <a:p>
          <a:pPr algn="l"/>
          <a:fld id="{A1BF2E42-0F3D-4841-92D8-B9791FEB3818}" type="TxLink">
            <a:rPr lang="en-US" sz="1800" b="1" i="0" u="none" strike="noStrike">
              <a:solidFill>
                <a:schemeClr val="bg1"/>
              </a:solidFill>
              <a:latin typeface="Aptos Narrow"/>
            </a:rPr>
            <a:pPr algn="l"/>
            <a:t>1186.89</a:t>
          </a:fld>
          <a:endParaRPr lang="en-KE" sz="1800" b="1">
            <a:solidFill>
              <a:schemeClr val="bg1"/>
            </a:solidFill>
          </a:endParaRPr>
        </a:p>
      </xdr:txBody>
    </xdr:sp>
    <xdr:clientData/>
  </xdr:twoCellAnchor>
  <xdr:twoCellAnchor>
    <xdr:from>
      <xdr:col>12</xdr:col>
      <xdr:colOff>266700</xdr:colOff>
      <xdr:row>3</xdr:row>
      <xdr:rowOff>165099</xdr:rowOff>
    </xdr:from>
    <xdr:to>
      <xdr:col>15</xdr:col>
      <xdr:colOff>595313</xdr:colOff>
      <xdr:row>8</xdr:row>
      <xdr:rowOff>15874</xdr:rowOff>
    </xdr:to>
    <xdr:sp macro="" textlink="Dashboard!S7">
      <xdr:nvSpPr>
        <xdr:cNvPr id="7" name="Rectangle: Rounded Corners 6">
          <a:extLst>
            <a:ext uri="{FF2B5EF4-FFF2-40B4-BE49-F238E27FC236}">
              <a16:creationId xmlns:a16="http://schemas.microsoft.com/office/drawing/2014/main" id="{4A659D05-8246-AC4A-92E6-9D38CDD9AE5B}"/>
            </a:ext>
          </a:extLst>
        </xdr:cNvPr>
        <xdr:cNvSpPr/>
      </xdr:nvSpPr>
      <xdr:spPr>
        <a:xfrm>
          <a:off x="7600950" y="1038224"/>
          <a:ext cx="2162176" cy="76358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i="0" u="none" strike="noStrike">
              <a:solidFill>
                <a:schemeClr val="bg1"/>
              </a:solidFill>
              <a:latin typeface="Aptos Narrow"/>
            </a:rPr>
            <a:t>Total</a:t>
          </a:r>
          <a:r>
            <a:rPr lang="en-US" sz="1500" b="1" i="0" u="none" strike="noStrike" baseline="0">
              <a:solidFill>
                <a:schemeClr val="bg1"/>
              </a:solidFill>
              <a:latin typeface="Aptos Narrow"/>
            </a:rPr>
            <a:t> Customer Reviews </a:t>
          </a:r>
          <a:fld id="{BDA7C6CC-1772-4755-B143-98BC62FAB7A7}" type="TxLink">
            <a:rPr lang="en-US" sz="1800" b="1" i="0" u="none" strike="noStrike">
              <a:solidFill>
                <a:schemeClr val="bg1"/>
              </a:solidFill>
              <a:latin typeface="Aptos Narrow"/>
            </a:rPr>
            <a:pPr algn="l"/>
            <a:t>723</a:t>
          </a:fld>
          <a:endParaRPr lang="en-KE" sz="1500" b="1">
            <a:solidFill>
              <a:schemeClr val="bg1"/>
            </a:solidFill>
          </a:endParaRPr>
        </a:p>
      </xdr:txBody>
    </xdr:sp>
    <xdr:clientData/>
  </xdr:twoCellAnchor>
  <xdr:twoCellAnchor>
    <xdr:from>
      <xdr:col>9</xdr:col>
      <xdr:colOff>201612</xdr:colOff>
      <xdr:row>3</xdr:row>
      <xdr:rowOff>165100</xdr:rowOff>
    </xdr:from>
    <xdr:to>
      <xdr:col>12</xdr:col>
      <xdr:colOff>239712</xdr:colOff>
      <xdr:row>8</xdr:row>
      <xdr:rowOff>15875</xdr:rowOff>
    </xdr:to>
    <xdr:sp macro="" textlink="Dashboard!S6">
      <xdr:nvSpPr>
        <xdr:cNvPr id="8" name="Rectangle: Rounded Corners 7">
          <a:extLst>
            <a:ext uri="{FF2B5EF4-FFF2-40B4-BE49-F238E27FC236}">
              <a16:creationId xmlns:a16="http://schemas.microsoft.com/office/drawing/2014/main" id="{55E6B091-F8FE-E2E0-2F30-B16814480A59}"/>
            </a:ext>
          </a:extLst>
        </xdr:cNvPr>
        <xdr:cNvSpPr/>
      </xdr:nvSpPr>
      <xdr:spPr>
        <a:xfrm>
          <a:off x="5702300" y="1038225"/>
          <a:ext cx="1871662" cy="76358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Aptos Narrow"/>
            </a:rPr>
            <a:t>Average Rating</a:t>
          </a:r>
        </a:p>
        <a:p>
          <a:pPr algn="l"/>
          <a:fld id="{2645B49C-FFA4-4558-BE0D-DAD3D0256E28}" type="TxLink">
            <a:rPr lang="en-US" sz="1800" b="1" i="0" u="none" strike="noStrike">
              <a:solidFill>
                <a:schemeClr val="bg1"/>
              </a:solidFill>
              <a:latin typeface="Aptos Narrow"/>
            </a:rPr>
            <a:pPr algn="l"/>
            <a:t>3.89</a:t>
          </a:fld>
          <a:endParaRPr lang="en-KE" sz="1800" b="1">
            <a:solidFill>
              <a:schemeClr val="bg1"/>
            </a:solidFill>
          </a:endParaRPr>
        </a:p>
      </xdr:txBody>
    </xdr:sp>
    <xdr:clientData/>
  </xdr:twoCellAnchor>
  <xdr:twoCellAnchor>
    <xdr:from>
      <xdr:col>6</xdr:col>
      <xdr:colOff>85725</xdr:colOff>
      <xdr:row>3</xdr:row>
      <xdr:rowOff>171449</xdr:rowOff>
    </xdr:from>
    <xdr:to>
      <xdr:col>9</xdr:col>
      <xdr:colOff>174625</xdr:colOff>
      <xdr:row>8</xdr:row>
      <xdr:rowOff>31749</xdr:rowOff>
    </xdr:to>
    <xdr:sp macro="" textlink="Dashboard!S5">
      <xdr:nvSpPr>
        <xdr:cNvPr id="9" name="Rectangle: Rounded Corners 8">
          <a:extLst>
            <a:ext uri="{FF2B5EF4-FFF2-40B4-BE49-F238E27FC236}">
              <a16:creationId xmlns:a16="http://schemas.microsoft.com/office/drawing/2014/main" id="{FECCEA0F-A084-BB55-19A2-546C549D9252}"/>
            </a:ext>
          </a:extLst>
        </xdr:cNvPr>
        <xdr:cNvSpPr/>
      </xdr:nvSpPr>
      <xdr:spPr>
        <a:xfrm>
          <a:off x="3752850" y="1044574"/>
          <a:ext cx="1922463" cy="77311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Aptos Narrow"/>
            </a:rPr>
            <a:t>Average Discount</a:t>
          </a:r>
        </a:p>
        <a:p>
          <a:pPr algn="l"/>
          <a:fld id="{08910918-65FD-422E-833E-5A33905DB691}" type="TxLink">
            <a:rPr lang="en-US" sz="1800" b="1" i="0" u="none" strike="noStrike">
              <a:solidFill>
                <a:schemeClr val="bg1"/>
              </a:solidFill>
              <a:latin typeface="Aptos Narrow"/>
            </a:rPr>
            <a:pPr algn="l"/>
            <a:t>37%</a:t>
          </a:fld>
          <a:endParaRPr lang="en-KE" sz="1800" b="1">
            <a:solidFill>
              <a:schemeClr val="bg1"/>
            </a:solidFill>
          </a:endParaRPr>
        </a:p>
      </xdr:txBody>
    </xdr:sp>
    <xdr:clientData/>
  </xdr:twoCellAnchor>
  <xdr:twoCellAnchor>
    <xdr:from>
      <xdr:col>0</xdr:col>
      <xdr:colOff>0</xdr:colOff>
      <xdr:row>0</xdr:row>
      <xdr:rowOff>36286</xdr:rowOff>
    </xdr:from>
    <xdr:to>
      <xdr:col>15</xdr:col>
      <xdr:colOff>457200</xdr:colOff>
      <xdr:row>1</xdr:row>
      <xdr:rowOff>107950</xdr:rowOff>
    </xdr:to>
    <xdr:sp macro="" textlink="">
      <xdr:nvSpPr>
        <xdr:cNvPr id="10" name="Rectangle: Rounded Corners 9">
          <a:extLst>
            <a:ext uri="{FF2B5EF4-FFF2-40B4-BE49-F238E27FC236}">
              <a16:creationId xmlns:a16="http://schemas.microsoft.com/office/drawing/2014/main" id="{0EDD5FF1-F6DE-40D2-9C95-4D135206C4BA}"/>
            </a:ext>
          </a:extLst>
        </xdr:cNvPr>
        <xdr:cNvSpPr/>
      </xdr:nvSpPr>
      <xdr:spPr>
        <a:xfrm>
          <a:off x="0" y="36286"/>
          <a:ext cx="9573986" cy="46173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a:solidFill>
                <a:schemeClr val="lt1"/>
              </a:solidFill>
              <a:latin typeface="+mn-lt"/>
              <a:ea typeface="+mn-ea"/>
              <a:cs typeface="+mn-cs"/>
            </a:rPr>
            <a:t>JUMIA PRODUCT PERFORMANCE DABOARD</a:t>
          </a:r>
          <a:endParaRPr lang="en-KE" sz="2800" b="1">
            <a:solidFill>
              <a:schemeClr val="lt1"/>
            </a:solidFill>
            <a:latin typeface="+mn-lt"/>
            <a:ea typeface="+mn-ea"/>
            <a:cs typeface="+mn-cs"/>
          </a:endParaRPr>
        </a:p>
      </xdr:txBody>
    </xdr:sp>
    <xdr:clientData/>
  </xdr:twoCellAnchor>
  <xdr:twoCellAnchor>
    <xdr:from>
      <xdr:col>0</xdr:col>
      <xdr:colOff>12700</xdr:colOff>
      <xdr:row>1</xdr:row>
      <xdr:rowOff>133350</xdr:rowOff>
    </xdr:from>
    <xdr:to>
      <xdr:col>15</xdr:col>
      <xdr:colOff>457200</xdr:colOff>
      <xdr:row>3</xdr:row>
      <xdr:rowOff>139700</xdr:rowOff>
    </xdr:to>
    <xdr:sp macro="" textlink="">
      <xdr:nvSpPr>
        <xdr:cNvPr id="11" name="Rectangle: Rounded Corners 10">
          <a:extLst>
            <a:ext uri="{FF2B5EF4-FFF2-40B4-BE49-F238E27FC236}">
              <a16:creationId xmlns:a16="http://schemas.microsoft.com/office/drawing/2014/main" id="{73F5EB37-1297-489C-8CAE-5980820C34E3}"/>
            </a:ext>
          </a:extLst>
        </xdr:cNvPr>
        <xdr:cNvSpPr/>
      </xdr:nvSpPr>
      <xdr:spPr>
        <a:xfrm>
          <a:off x="12700" y="527050"/>
          <a:ext cx="9588500" cy="37465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Pricing, Discounts, Ratings &amp; Customer Engagement Analysis</a:t>
          </a:r>
          <a:endParaRPr lang="en-KE" sz="1400" b="1">
            <a:solidFill>
              <a:schemeClr val="lt1"/>
            </a:solidFill>
            <a:latin typeface="+mn-lt"/>
            <a:ea typeface="+mn-ea"/>
            <a:cs typeface="+mn-cs"/>
          </a:endParaRPr>
        </a:p>
      </xdr:txBody>
    </xdr:sp>
    <xdr:clientData/>
  </xdr:twoCellAnchor>
  <xdr:twoCellAnchor>
    <xdr:from>
      <xdr:col>5</xdr:col>
      <xdr:colOff>271009</xdr:colOff>
      <xdr:row>8</xdr:row>
      <xdr:rowOff>134938</xdr:rowOff>
    </xdr:from>
    <xdr:to>
      <xdr:col>10</xdr:col>
      <xdr:colOff>412749</xdr:colOff>
      <xdr:row>23</xdr:row>
      <xdr:rowOff>79375</xdr:rowOff>
    </xdr:to>
    <xdr:graphicFrame macro="">
      <xdr:nvGraphicFramePr>
        <xdr:cNvPr id="14" name="Chart 13">
          <a:extLst>
            <a:ext uri="{FF2B5EF4-FFF2-40B4-BE49-F238E27FC236}">
              <a16:creationId xmlns:a16="http://schemas.microsoft.com/office/drawing/2014/main" id="{EAA46005-9CD5-4715-87FA-DBA876036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293688</xdr:colOff>
      <xdr:row>24</xdr:row>
      <xdr:rowOff>103187</xdr:rowOff>
    </xdr:from>
    <xdr:to>
      <xdr:col>10</xdr:col>
      <xdr:colOff>420688</xdr:colOff>
      <xdr:row>39</xdr:row>
      <xdr:rowOff>119063</xdr:rowOff>
    </xdr:to>
    <xdr:graphicFrame macro="">
      <xdr:nvGraphicFramePr>
        <xdr:cNvPr id="15" name="Chart 14">
          <a:extLst>
            <a:ext uri="{FF2B5EF4-FFF2-40B4-BE49-F238E27FC236}">
              <a16:creationId xmlns:a16="http://schemas.microsoft.com/office/drawing/2014/main" id="{C992DEFF-ACF8-454D-A14E-6F4DC40F6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39688</xdr:colOff>
      <xdr:row>53</xdr:row>
      <xdr:rowOff>166687</xdr:rowOff>
    </xdr:from>
    <xdr:to>
      <xdr:col>4</xdr:col>
      <xdr:colOff>396875</xdr:colOff>
      <xdr:row>57</xdr:row>
      <xdr:rowOff>127000</xdr:rowOff>
    </xdr:to>
    <mc:AlternateContent xmlns:mc="http://schemas.openxmlformats.org/markup-compatibility/2006" xmlns:a14="http://schemas.microsoft.com/office/drawing/2010/main">
      <mc:Choice Requires="a14">
        <xdr:graphicFrame macro="">
          <xdr:nvGraphicFramePr>
            <xdr:cNvPr id="38" name="Rating Category">
              <a:extLst>
                <a:ext uri="{FF2B5EF4-FFF2-40B4-BE49-F238E27FC236}">
                  <a16:creationId xmlns:a16="http://schemas.microsoft.com/office/drawing/2014/main" id="{7AEB679B-DB35-4B01-AE4A-D9BC9F53A702}"/>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39688" y="7429500"/>
              <a:ext cx="2801937" cy="69056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500063</xdr:colOff>
      <xdr:row>53</xdr:row>
      <xdr:rowOff>166687</xdr:rowOff>
    </xdr:from>
    <xdr:to>
      <xdr:col>15</xdr:col>
      <xdr:colOff>555624</xdr:colOff>
      <xdr:row>57</xdr:row>
      <xdr:rowOff>134937</xdr:rowOff>
    </xdr:to>
    <mc:AlternateContent xmlns:mc="http://schemas.openxmlformats.org/markup-compatibility/2006" xmlns:a14="http://schemas.microsoft.com/office/drawing/2010/main">
      <mc:Choice Requires="a14">
        <xdr:graphicFrame macro="">
          <xdr:nvGraphicFramePr>
            <xdr:cNvPr id="39" name="Discount Category">
              <a:extLst>
                <a:ext uri="{FF2B5EF4-FFF2-40B4-BE49-F238E27FC236}">
                  <a16:creationId xmlns:a16="http://schemas.microsoft.com/office/drawing/2014/main" id="{60C3D8AC-1672-49D7-BCE8-12DE193B3C2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000751" y="7429500"/>
              <a:ext cx="3722686" cy="698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428625</xdr:colOff>
      <xdr:row>53</xdr:row>
      <xdr:rowOff>166689</xdr:rowOff>
    </xdr:from>
    <xdr:to>
      <xdr:col>9</xdr:col>
      <xdr:colOff>476250</xdr:colOff>
      <xdr:row>57</xdr:row>
      <xdr:rowOff>127000</xdr:rowOff>
    </xdr:to>
    <mc:AlternateContent xmlns:mc="http://schemas.openxmlformats.org/markup-compatibility/2006" xmlns:a14="http://schemas.microsoft.com/office/drawing/2010/main">
      <mc:Choice Requires="a14">
        <xdr:graphicFrame macro="">
          <xdr:nvGraphicFramePr>
            <xdr:cNvPr id="40" name="Price Category">
              <a:extLst>
                <a:ext uri="{FF2B5EF4-FFF2-40B4-BE49-F238E27FC236}">
                  <a16:creationId xmlns:a16="http://schemas.microsoft.com/office/drawing/2014/main" id="{051E3496-E16C-4478-942E-8581EB2808E2}"/>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2873375" y="7429502"/>
              <a:ext cx="3103563" cy="69056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15876</xdr:colOff>
      <xdr:row>61</xdr:row>
      <xdr:rowOff>23813</xdr:rowOff>
    </xdr:from>
    <xdr:to>
      <xdr:col>7</xdr:col>
      <xdr:colOff>595313</xdr:colOff>
      <xdr:row>74</xdr:row>
      <xdr:rowOff>47626</xdr:rowOff>
    </xdr:to>
    <xdr:sp macro="" textlink="">
      <xdr:nvSpPr>
        <xdr:cNvPr id="41" name="Rectangle 40">
          <a:extLst>
            <a:ext uri="{FF2B5EF4-FFF2-40B4-BE49-F238E27FC236}">
              <a16:creationId xmlns:a16="http://schemas.microsoft.com/office/drawing/2014/main" id="{A10F627B-3A1B-C18B-E7FE-CB21DD518353}"/>
            </a:ext>
          </a:extLst>
        </xdr:cNvPr>
        <xdr:cNvSpPr/>
      </xdr:nvSpPr>
      <xdr:spPr>
        <a:xfrm>
          <a:off x="15876" y="9834563"/>
          <a:ext cx="4857750" cy="16668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KE" sz="1200" b="1"/>
            <a:t>DISCOUNT EFFECTIVENESS</a:t>
          </a:r>
          <a:endParaRPr lang="en-KE" sz="1200"/>
        </a:p>
        <a:p>
          <a:r>
            <a:rPr lang="en-KE" sz="1200" b="1"/>
            <a:t>Evidence:</a:t>
          </a:r>
          <a:r>
            <a:rPr lang="en-KE" sz="1200"/>
            <a:t> Medium-discount products average </a:t>
          </a:r>
          <a:r>
            <a:rPr lang="en-KE" sz="1200" b="1"/>
            <a:t>15 reviews</a:t>
          </a:r>
          <a:r>
            <a:rPr lang="en-KE" sz="1200"/>
            <a:t>, compared with </a:t>
          </a:r>
          <a:r>
            <a:rPr lang="en-KE" sz="1200" b="1"/>
            <a:t>11</a:t>
          </a:r>
          <a:r>
            <a:rPr lang="en-KE" sz="1200"/>
            <a:t> for high-discount and </a:t>
          </a:r>
          <a:r>
            <a:rPr lang="en-KE" sz="1200" b="1"/>
            <a:t>10</a:t>
          </a:r>
          <a:r>
            <a:rPr lang="en-KE" sz="1200"/>
            <a:t> for low-discount products.</a:t>
          </a:r>
          <a:endParaRPr lang="en-US" sz="1200"/>
        </a:p>
        <a:p>
          <a:br>
            <a:rPr lang="en-KE" sz="1200"/>
          </a:br>
          <a:r>
            <a:rPr lang="en-KE" sz="1200" b="1"/>
            <a:t>Meaning:</a:t>
          </a:r>
          <a:r>
            <a:rPr lang="en-KE" sz="1200"/>
            <a:t> Deeper discounts are not associated with the highest customer engagement in this dataset.</a:t>
          </a:r>
          <a:endParaRPr lang="en-US" sz="1200"/>
        </a:p>
        <a:p>
          <a:br>
            <a:rPr lang="en-KE" sz="1200"/>
          </a:br>
          <a:r>
            <a:rPr lang="en-KE" sz="1200" b="1"/>
            <a:t>Action:</a:t>
          </a:r>
          <a:r>
            <a:rPr lang="en-KE" sz="1200"/>
            <a:t> Sellers should test medium versus high discount bands and compare engagement before relying on deeper discounts.</a:t>
          </a:r>
          <a:endParaRPr lang="en-US" sz="1200"/>
        </a:p>
        <a:p>
          <a:br>
            <a:rPr lang="en-KE" sz="1200"/>
          </a:br>
          <a:r>
            <a:rPr lang="en-KE" sz="1200" b="1"/>
            <a:t>Caveat:</a:t>
          </a:r>
          <a:r>
            <a:rPr lang="en-KE" sz="1200"/>
            <a:t> Review count is only an engagement proxy; the dataset does not include sales or listing age, so discounts cannot be said to cause the observed differences.</a:t>
          </a:r>
        </a:p>
      </xdr:txBody>
    </xdr:sp>
    <xdr:clientData/>
  </xdr:twoCellAnchor>
  <xdr:twoCellAnchor>
    <xdr:from>
      <xdr:col>8</xdr:col>
      <xdr:colOff>17462</xdr:colOff>
      <xdr:row>61</xdr:row>
      <xdr:rowOff>25399</xdr:rowOff>
    </xdr:from>
    <xdr:to>
      <xdr:col>16</xdr:col>
      <xdr:colOff>0</xdr:colOff>
      <xdr:row>74</xdr:row>
      <xdr:rowOff>39687</xdr:rowOff>
    </xdr:to>
    <xdr:sp macro="" textlink="">
      <xdr:nvSpPr>
        <xdr:cNvPr id="42" name="Rectangle 41">
          <a:extLst>
            <a:ext uri="{FF2B5EF4-FFF2-40B4-BE49-F238E27FC236}">
              <a16:creationId xmlns:a16="http://schemas.microsoft.com/office/drawing/2014/main" id="{280145F8-DB64-4281-978F-2D76A5C3CE1B}"/>
            </a:ext>
          </a:extLst>
        </xdr:cNvPr>
        <xdr:cNvSpPr/>
      </xdr:nvSpPr>
      <xdr:spPr>
        <a:xfrm>
          <a:off x="4906962" y="9947274"/>
          <a:ext cx="4872038" cy="16573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KE" sz="1200" b="1"/>
            <a:t>PRICE &amp; RATINGS</a:t>
          </a:r>
          <a:endParaRPr lang="en-KE" sz="1200"/>
        </a:p>
        <a:p>
          <a:r>
            <a:rPr lang="en-KE" sz="1200" b="1"/>
            <a:t>Evidence:</a:t>
          </a:r>
          <a:r>
            <a:rPr lang="en-KE" sz="1200"/>
            <a:t> Average ratings increase from </a:t>
          </a:r>
          <a:r>
            <a:rPr lang="en-KE" sz="1200" b="1"/>
            <a:t>3.64 for low-priced products</a:t>
          </a:r>
          <a:r>
            <a:rPr lang="en-KE" sz="1200"/>
            <a:t> to </a:t>
          </a:r>
          <a:r>
            <a:rPr lang="en-KE" sz="1200" b="1"/>
            <a:t>3.88 for medium-priced</a:t>
          </a:r>
          <a:r>
            <a:rPr lang="en-KE" sz="1200"/>
            <a:t> and </a:t>
          </a:r>
          <a:r>
            <a:rPr lang="en-KE" sz="1200" b="1"/>
            <a:t>4.08 for high-priced products</a:t>
          </a:r>
          <a:r>
            <a:rPr lang="en-KE" sz="1200"/>
            <a:t>.</a:t>
          </a:r>
          <a:endParaRPr lang="en-US" sz="1200"/>
        </a:p>
        <a:p>
          <a:br>
            <a:rPr lang="en-KE" sz="1200"/>
          </a:br>
          <a:r>
            <a:rPr lang="en-KE" sz="1200" b="1"/>
            <a:t>Meaning:</a:t>
          </a:r>
          <a:r>
            <a:rPr lang="en-KE" sz="1200"/>
            <a:t> Higher-priced products in this dataset tend to receive stronger average ratings.</a:t>
          </a:r>
          <a:endParaRPr lang="en-US" sz="1200"/>
        </a:p>
        <a:p>
          <a:br>
            <a:rPr lang="en-KE" sz="1200"/>
          </a:br>
          <a:r>
            <a:rPr lang="en-KE" sz="1200" b="1"/>
            <a:t>Action:</a:t>
          </a:r>
          <a:r>
            <a:rPr lang="en-KE" sz="1200"/>
            <a:t> Investigate the product quality, features, brands, or listing characteristics associated with highly rated high-priced products and assess whether these can be applied elsewhere.</a:t>
          </a:r>
          <a:endParaRPr lang="en-US" sz="1200"/>
        </a:p>
        <a:p>
          <a:br>
            <a:rPr lang="en-KE" sz="1200"/>
          </a:br>
          <a:r>
            <a:rPr lang="en-KE" sz="1200" b="1"/>
            <a:t>Caveat:</a:t>
          </a:r>
          <a:r>
            <a:rPr lang="en-KE" sz="1200"/>
            <a:t> The analysis shows an association only; it does not establish that higher prices cause higher ratings.</a:t>
          </a:r>
        </a:p>
      </xdr:txBody>
    </xdr:sp>
    <xdr:clientData/>
  </xdr:twoCellAnchor>
  <xdr:twoCellAnchor>
    <xdr:from>
      <xdr:col>8</xdr:col>
      <xdr:colOff>15875</xdr:colOff>
      <xdr:row>74</xdr:row>
      <xdr:rowOff>65085</xdr:rowOff>
    </xdr:from>
    <xdr:to>
      <xdr:col>16</xdr:col>
      <xdr:colOff>0</xdr:colOff>
      <xdr:row>87</xdr:row>
      <xdr:rowOff>87313</xdr:rowOff>
    </xdr:to>
    <xdr:sp macro="" textlink="">
      <xdr:nvSpPr>
        <xdr:cNvPr id="43" name="Rectangle 42">
          <a:extLst>
            <a:ext uri="{FF2B5EF4-FFF2-40B4-BE49-F238E27FC236}">
              <a16:creationId xmlns:a16="http://schemas.microsoft.com/office/drawing/2014/main" id="{099364BB-0B74-42FF-81C0-B8E0598B95D8}"/>
            </a:ext>
          </a:extLst>
        </xdr:cNvPr>
        <xdr:cNvSpPr/>
      </xdr:nvSpPr>
      <xdr:spPr>
        <a:xfrm>
          <a:off x="4905375" y="11630023"/>
          <a:ext cx="4873625" cy="2395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KE" sz="1200" b="1"/>
            <a:t>RATING ≠ ENGAGEMENT</a:t>
          </a:r>
          <a:endParaRPr lang="en-KE" sz="1200"/>
        </a:p>
        <a:p>
          <a:r>
            <a:rPr lang="en-US" sz="1200"/>
            <a:t>Evidence: Rating and review count have a correlation of only r = 0.06 with R² ≈ 0.0033.</a:t>
          </a:r>
        </a:p>
        <a:p>
          <a:br>
            <a:rPr lang="en-US" sz="1200"/>
          </a:br>
          <a:r>
            <a:rPr lang="en-US" sz="1200"/>
            <a:t>Meaning: Highly rated products do not necessarily attract more review engagement.</a:t>
          </a:r>
        </a:p>
        <a:p>
          <a:br>
            <a:rPr lang="en-US" sz="1200"/>
          </a:br>
          <a:r>
            <a:rPr lang="en-US" sz="1200"/>
            <a:t>Action: Sellers should evaluate both rating quality and review engagement rather than using rating alone to identify strong-performing listings.</a:t>
          </a:r>
        </a:p>
        <a:p>
          <a:br>
            <a:rPr lang="en-US" sz="1200"/>
          </a:br>
          <a:r>
            <a:rPr lang="en-US" sz="1200"/>
            <a:t>Caveat: Only 57 products have complete Rating and Review data, and review count does not measure actual sales.</a:t>
          </a:r>
          <a:endParaRPr lang="en-KE" sz="1200"/>
        </a:p>
      </xdr:txBody>
    </xdr:sp>
    <xdr:clientData/>
  </xdr:twoCellAnchor>
  <xdr:twoCellAnchor>
    <xdr:from>
      <xdr:col>0</xdr:col>
      <xdr:colOff>19050</xdr:colOff>
      <xdr:row>74</xdr:row>
      <xdr:rowOff>74611</xdr:rowOff>
    </xdr:from>
    <xdr:to>
      <xdr:col>7</xdr:col>
      <xdr:colOff>595312</xdr:colOff>
      <xdr:row>87</xdr:row>
      <xdr:rowOff>87312</xdr:rowOff>
    </xdr:to>
    <xdr:sp macro="" textlink="">
      <xdr:nvSpPr>
        <xdr:cNvPr id="44" name="Rectangle 43">
          <a:extLst>
            <a:ext uri="{FF2B5EF4-FFF2-40B4-BE49-F238E27FC236}">
              <a16:creationId xmlns:a16="http://schemas.microsoft.com/office/drawing/2014/main" id="{342E75E3-C804-409B-9669-4CB32FF9E28E}"/>
            </a:ext>
          </a:extLst>
        </xdr:cNvPr>
        <xdr:cNvSpPr/>
      </xdr:nvSpPr>
      <xdr:spPr>
        <a:xfrm>
          <a:off x="19050" y="11639549"/>
          <a:ext cx="4854575" cy="23860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KE" sz="1050" b="1"/>
            <a:t>PROMOTIONAL OPPORTUNITIES</a:t>
          </a:r>
          <a:endParaRPr lang="en-KE" sz="1050"/>
        </a:p>
        <a:p>
          <a:r>
            <a:rPr lang="en-KE" sz="1050" b="1"/>
            <a:t>Evidence:</a:t>
          </a:r>
          <a:r>
            <a:rPr lang="en-KE" sz="1050"/>
            <a:t> </a:t>
          </a:r>
          <a:r>
            <a:rPr lang="en-KE" sz="1050" b="1"/>
            <a:t>6 products</a:t>
          </a:r>
          <a:r>
            <a:rPr lang="en-KE" sz="1050"/>
            <a:t> combine high ratings with high engagement, </a:t>
          </a:r>
          <a:r>
            <a:rPr lang="en-KE" sz="1050" b="1"/>
            <a:t>10</a:t>
          </a:r>
          <a:r>
            <a:rPr lang="en-KE" sz="1050"/>
            <a:t> combine high discounts with low ratings, and </a:t>
          </a:r>
          <a:r>
            <a:rPr lang="en-KE" sz="1050" b="1"/>
            <a:t>8</a:t>
          </a:r>
          <a:r>
            <a:rPr lang="en-KE" sz="1050"/>
            <a:t> combine high discounts with high ratings.</a:t>
          </a:r>
          <a:endParaRPr lang="en-US" sz="1050"/>
        </a:p>
        <a:p>
          <a:br>
            <a:rPr lang="en-KE" sz="1050"/>
          </a:br>
          <a:r>
            <a:rPr lang="en-KE" sz="1050" b="1"/>
            <a:t>Meaning:</a:t>
          </a:r>
          <a:r>
            <a:rPr lang="en-KE" sz="1050"/>
            <a:t> The dataset contains both promising promotional candidates and products where heavy discounting coincides with weak customer ratings.</a:t>
          </a:r>
          <a:endParaRPr lang="en-US" sz="1050"/>
        </a:p>
        <a:p>
          <a:br>
            <a:rPr lang="en-KE" sz="1050"/>
          </a:br>
          <a:r>
            <a:rPr lang="en-KE" sz="1050" b="1"/>
            <a:t>Action:</a:t>
          </a:r>
          <a:r>
            <a:rPr lang="en-KE" sz="1050"/>
            <a:t> Prioritize the 6 high-rating/high-engagement products for further investigation and review quality/listing issues among the 10 high-discount/low-rating products before increasing promotional support.</a:t>
          </a:r>
          <a:endParaRPr lang="en-US" sz="1050"/>
        </a:p>
        <a:p>
          <a:br>
            <a:rPr lang="en-KE" sz="1050"/>
          </a:br>
          <a:r>
            <a:rPr lang="en-KE" sz="1050" b="1"/>
            <a:t>Caveat:</a:t>
          </a:r>
          <a:r>
            <a:rPr lang="en-KE" sz="1050"/>
            <a:t> These flags identify products for investigation, not proven sales winners or failures, because the dataset contains no sales, revenue or profitability measures.</a:t>
          </a:r>
          <a:endParaRPr lang="en-KE" sz="900"/>
        </a:p>
      </xdr:txBody>
    </xdr:sp>
    <xdr:clientData/>
  </xdr:twoCellAnchor>
  <xdr:twoCellAnchor>
    <xdr:from>
      <xdr:col>0</xdr:col>
      <xdr:colOff>15876</xdr:colOff>
      <xdr:row>87</xdr:row>
      <xdr:rowOff>103188</xdr:rowOff>
    </xdr:from>
    <xdr:to>
      <xdr:col>16</xdr:col>
      <xdr:colOff>0</xdr:colOff>
      <xdr:row>89</xdr:row>
      <xdr:rowOff>15875</xdr:rowOff>
    </xdr:to>
    <xdr:sp macro="" textlink="">
      <xdr:nvSpPr>
        <xdr:cNvPr id="45" name="Rectangle 44">
          <a:extLst>
            <a:ext uri="{FF2B5EF4-FFF2-40B4-BE49-F238E27FC236}">
              <a16:creationId xmlns:a16="http://schemas.microsoft.com/office/drawing/2014/main" id="{B614A5F6-FC7F-4D7C-8590-14349C693807}"/>
            </a:ext>
          </a:extLst>
        </xdr:cNvPr>
        <xdr:cNvSpPr/>
      </xdr:nvSpPr>
      <xdr:spPr>
        <a:xfrm>
          <a:off x="15876" y="14041438"/>
          <a:ext cx="9763124" cy="2778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KE" sz="1100" b="1" i="1"/>
            <a:t>Note:</a:t>
          </a:r>
          <a:r>
            <a:rPr lang="en-KE" sz="1100" i="1"/>
            <a:t> Review count is used as a proxy for customer engagement and should not be interpreted as sales performance. Findings indicate associations, not causation.</a:t>
          </a:r>
        </a:p>
      </xdr:txBody>
    </xdr:sp>
    <xdr:clientData/>
  </xdr:twoCellAnchor>
  <xdr:twoCellAnchor>
    <xdr:from>
      <xdr:col>10</xdr:col>
      <xdr:colOff>468313</xdr:colOff>
      <xdr:row>8</xdr:row>
      <xdr:rowOff>126999</xdr:rowOff>
    </xdr:from>
    <xdr:to>
      <xdr:col>15</xdr:col>
      <xdr:colOff>579437</xdr:colOff>
      <xdr:row>23</xdr:row>
      <xdr:rowOff>79375</xdr:rowOff>
    </xdr:to>
    <xdr:graphicFrame macro="">
      <xdr:nvGraphicFramePr>
        <xdr:cNvPr id="3" name="Chart 2">
          <a:extLst>
            <a:ext uri="{FF2B5EF4-FFF2-40B4-BE49-F238E27FC236}">
              <a16:creationId xmlns:a16="http://schemas.microsoft.com/office/drawing/2014/main" id="{C61E0DF7-8D13-422C-AF74-AFC9A32B1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55563</xdr:colOff>
      <xdr:row>8</xdr:row>
      <xdr:rowOff>133348</xdr:rowOff>
    </xdr:from>
    <xdr:to>
      <xdr:col>5</xdr:col>
      <xdr:colOff>206375</xdr:colOff>
      <xdr:row>23</xdr:row>
      <xdr:rowOff>87312</xdr:rowOff>
    </xdr:to>
    <xdr:graphicFrame macro="">
      <xdr:nvGraphicFramePr>
        <xdr:cNvPr id="4" name="Chart 3">
          <a:extLst>
            <a:ext uri="{FF2B5EF4-FFF2-40B4-BE49-F238E27FC236}">
              <a16:creationId xmlns:a16="http://schemas.microsoft.com/office/drawing/2014/main" id="{F79F34F8-78BE-41F0-8FA1-06CE1D6F2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55563</xdr:colOff>
      <xdr:row>24</xdr:row>
      <xdr:rowOff>103188</xdr:rowOff>
    </xdr:from>
    <xdr:to>
      <xdr:col>5</xdr:col>
      <xdr:colOff>230187</xdr:colOff>
      <xdr:row>39</xdr:row>
      <xdr:rowOff>107951</xdr:rowOff>
    </xdr:to>
    <xdr:graphicFrame macro="">
      <xdr:nvGraphicFramePr>
        <xdr:cNvPr id="20" name="Chart 19">
          <a:extLst>
            <a:ext uri="{FF2B5EF4-FFF2-40B4-BE49-F238E27FC236}">
              <a16:creationId xmlns:a16="http://schemas.microsoft.com/office/drawing/2014/main" id="{EEE186A1-F0A4-41A7-A749-C39DA0C04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468313</xdr:colOff>
      <xdr:row>24</xdr:row>
      <xdr:rowOff>103187</xdr:rowOff>
    </xdr:from>
    <xdr:to>
      <xdr:col>15</xdr:col>
      <xdr:colOff>587375</xdr:colOff>
      <xdr:row>39</xdr:row>
      <xdr:rowOff>119063</xdr:rowOff>
    </xdr:to>
    <xdr:graphicFrame macro="">
      <xdr:nvGraphicFramePr>
        <xdr:cNvPr id="21" name="Chart 20">
          <a:extLst>
            <a:ext uri="{FF2B5EF4-FFF2-40B4-BE49-F238E27FC236}">
              <a16:creationId xmlns:a16="http://schemas.microsoft.com/office/drawing/2014/main" id="{1FDE225C-15EF-477D-B2C3-3E0EEFCFB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301625</xdr:colOff>
      <xdr:row>40</xdr:row>
      <xdr:rowOff>47623</xdr:rowOff>
    </xdr:from>
    <xdr:to>
      <xdr:col>10</xdr:col>
      <xdr:colOff>428625</xdr:colOff>
      <xdr:row>53</xdr:row>
      <xdr:rowOff>15875</xdr:rowOff>
    </xdr:to>
    <xdr:graphicFrame macro="">
      <xdr:nvGraphicFramePr>
        <xdr:cNvPr id="22" name="Chart 21">
          <a:extLst>
            <a:ext uri="{FF2B5EF4-FFF2-40B4-BE49-F238E27FC236}">
              <a16:creationId xmlns:a16="http://schemas.microsoft.com/office/drawing/2014/main" id="{5414490A-AA7E-4863-82C0-F92CFBBF8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60324</xdr:colOff>
      <xdr:row>40</xdr:row>
      <xdr:rowOff>57151</xdr:rowOff>
    </xdr:from>
    <xdr:to>
      <xdr:col>5</xdr:col>
      <xdr:colOff>230187</xdr:colOff>
      <xdr:row>53</xdr:row>
      <xdr:rowOff>7939</xdr:rowOff>
    </xdr:to>
    <xdr:graphicFrame macro="">
      <xdr:nvGraphicFramePr>
        <xdr:cNvPr id="23" name="Chart 22">
          <a:extLst>
            <a:ext uri="{FF2B5EF4-FFF2-40B4-BE49-F238E27FC236}">
              <a16:creationId xmlns:a16="http://schemas.microsoft.com/office/drawing/2014/main" id="{9333FE05-D389-49B5-9C20-3326679BA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484187</xdr:colOff>
      <xdr:row>40</xdr:row>
      <xdr:rowOff>47625</xdr:rowOff>
    </xdr:from>
    <xdr:to>
      <xdr:col>15</xdr:col>
      <xdr:colOff>579437</xdr:colOff>
      <xdr:row>53</xdr:row>
      <xdr:rowOff>15875</xdr:rowOff>
    </xdr:to>
    <xdr:graphicFrame macro="">
      <xdr:nvGraphicFramePr>
        <xdr:cNvPr id="24" name="Chart 23">
          <a:extLst>
            <a:ext uri="{FF2B5EF4-FFF2-40B4-BE49-F238E27FC236}">
              <a16:creationId xmlns:a16="http://schemas.microsoft.com/office/drawing/2014/main" id="{B924616F-10AA-447E-86B2-F8894D087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ba" refreshedDate="46270.878602662036" createdVersion="8" refreshedVersion="8" minRefreshableVersion="3" recordCount="112" xr:uid="{0A428860-AA54-4D7F-9C15-90E471E3DBEA}">
  <cacheSource type="worksheet">
    <worksheetSource name="tblProducts"/>
  </cacheSource>
  <cacheFields count="17">
    <cacheField name="Product" numFmtId="0">
      <sharedItems count="109">
        <s v="Wall-mounted Sticker Punch-free Plug Fixer"/>
        <s v="5-PCS Stainless Steel Cooking Pot Set With Steamed Slices"/>
        <s v="Electric LED UV Mosquito Killer Lamp, Outdoor/Indoor Fly Killer Trap Light -USB"/>
        <s v="Artificial Potted Flowers Room Decorative Flowers (2 Pieces)"/>
        <s v="7-piece Set Of Storage Bags, Travel Storage Bags, Shoe Bags"/>
        <s v="380ML USB Rechargeable Portable Small Blenders And Juicers"/>
        <s v="Watercolour Gold Foil Textured Print Pillow Cover"/>
        <s v="5 Pieces/set Of Stainless Steel Induction Cooker Pots"/>
        <s v="Agapeon Toothbrush Holder And Toothpaste Dispenser"/>
        <s v="Intelligent  LED Body Sensor Wireless Lighting Night Light USB"/>
        <s v="120W Cordless Vacuum Cleaners Handheld Electric Vacuum Cleaner"/>
        <s v="VIC Wireless Vacuum Cleaner Dual Use For Home And Car 120W High Power Powerful"/>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 50*30cm"/>
        <s v="3PCS Single Head Knitting Crochet Sweater Needle Set"/>
        <s v="13 In 1 Home Repair Tools Box Kit Set"/>
        <s v="Portable Wardrobe Nonwoven With 3 Hanging Rods And 6 Storage Shelves"/>
        <s v="12 Litre Black Insulated Lunch Box"/>
        <s v="4pcs Bathroom/Kitchen Towel Rack,Roll Paper Holder,Towel Bars,Hook"/>
        <s v="220V 60W Electric Soldering Iron Kits With Tools, Tips, And Multimeter"/>
        <s v="Desk Foldable Fan Adjustable Fan Strong Wind 3 Gear Usb"/>
        <s v="LED Romantic Spaceship Starry Sky Projector,Children's Bedroom Night Light-Blue"/>
        <s v="Household Pineapple Peeler Peeler"/>
        <s v="Metal Decorative Hooks Key Hangers Entryway Wall Hooks Towel Hooks - Home"/>
        <s v="Genebre 115 In 1 Screwdriver Repairing Tool Set For IPhone Cellphone Hand Tool"/>
        <s v="52 Pieces Cake Decorating Tool Set Gift Kit Baking Supplies"/>
        <s v="MultiFunctional Storage Rack Multi-layer Bookshelf"/>
        <s v="Multifunction Laser Level With Adjustment Tripod"/>
        <s v="LASA 3 Tier Bamboo Shoe Bench Storage Shelf"/>
        <s v="Exfoliate And Exfoliate Face Towel - Black"/>
        <s v="LED Eye Protection  Desk Lamp , Study, Reading, USB Fan - Double Pen Holder"/>
        <s v="Punch-free Great Load Bearing Bathroom Storage Rack Wall Shelf-White"/>
        <s v="Foldable Overbed Table/Desk"/>
        <s v="115  Piece Set Of Multifunctional Precision Screwdrivers"/>
        <s v="LASA Digital Thermometer And Hydrometer"/>
        <s v="53 Pieces/Set Yarn Knitting Crochet Hooks With Bag - Pansies"/>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1/2/3 Seater Elastic Sofa Cover,Living Room/Home Decor Chair Cover-Grey"/>
        <s v="Portable Mini Cordless Car Vacuum Cleaner - Blue"/>
        <s v="137 Pieces Cake Decorating Tool Set Baking Supplies"/>
        <s v="LED Wall Digital Alarm Clock Study Home 12 / 24H Clock Calendar"/>
        <s v="3D Waterproof EVA Plastic Shower Curtain 1.8*2Mtrs"/>
        <s v="Electronic Digital Display Vernier Caliper"/>
        <s v="Weighing Scale Digital Bathroom Body Fat Scale USB-Black"/>
        <s v="100 Pcs Crochet Hook Tool Set Knitting Hook Set With Box"/>
        <s v="12 Litre Insulated Lunch Box Grey"/>
        <s v="53Pcs/Set Yarn Knitting Crochet Hooks With Bag - Fortune Cat"/>
        <s v="Portable Home Small Air Humidifier 3-Speed Fan - Green"/>
        <s v="LASA FOLDING TABLE SERVING STAND"/>
        <s v="40cm Gold DIY Acrylic Wall Sticker Clock"/>
        <s v="Anti-Skid Absorbent Insulation Coaster  For Home Office"/>
        <s v="Peacock  Throw Pillow Cushion Case For Home Car"/>
        <s v="2PCS/LOT Solar LED Outdoor Intelligent Light Controlled Wall Lamp"/>
        <s v="3PCS Rotary Scraper Thermomix For Kitchen"/>
        <s v="Cushion Silicone Butt Cushion Summer Ice Cushion Honeycomb Gel Cushion"/>
        <s v="7PCS Silicone Thumb Knife Finger Protector Vegetable Harvesting Knife"/>
        <s v="LASA Aluminum Folding Truck Hand Cart - 68kg Max"/>
        <s v="DIY File Folder, Office Drawer File Holder, Pen Holder, Desktop Storage Rack"/>
        <s v="5m Waterproof Spherical LED String Lights Outdoor Ball Chain Lights Party Lighting Decoration Adjustable"/>
        <s v="2 Pairs Cowhide Split Leather Work Gloves.32℉ Or Above Welding Gloves"/>
        <s v="Classic Black Cat Cotton Hemp Pillow Case For Home Ca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Bedroom Simple Floor Hanging Clothes Rack Single Pole Hat Rack -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Konka Healty Electric Kettle, 24-hour Heat Preservation,1.5L,800W, White"/>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ount="93">
        <n v="900"/>
        <n v="4700"/>
        <n v="2988"/>
        <n v="1814"/>
        <n v="2000"/>
        <n v="602"/>
        <n v="2500"/>
        <n v="700"/>
        <n v="680"/>
        <n v="873"/>
        <n v="1555"/>
        <n v="986"/>
        <n v="6143"/>
        <n v="3240"/>
        <n v="899"/>
        <n v="2199"/>
        <n v="80"/>
        <n v="2929"/>
        <n v="3520"/>
        <n v="1990"/>
        <n v="3220"/>
        <n v="3290"/>
        <n v="1580"/>
        <n v="1350"/>
        <n v="647"/>
        <n v="999"/>
        <n v="2499"/>
        <n v="4080"/>
        <n v="4500"/>
        <n v="382"/>
        <n v="3490"/>
        <n v="656"/>
        <n v="2150"/>
        <n v="1525"/>
        <n v="860"/>
        <n v="2699"/>
        <n v="4471"/>
        <n v="931"/>
        <n v="476"/>
        <n v="1060"/>
        <n v="2169"/>
        <n v="1785"/>
        <n v="1316"/>
        <n v="1950"/>
        <n v="504"/>
        <n v="600"/>
        <n v="1699"/>
        <n v="384"/>
        <n v="1499"/>
        <n v="1343"/>
        <n v="1567"/>
        <n v="3810"/>
        <n v="896"/>
        <n v="2700"/>
        <n v="2923"/>
        <n v="3032"/>
        <n v="3699"/>
        <n v="1966"/>
        <n v="1500"/>
        <n v="1490"/>
        <n v="2650"/>
        <n v="2356"/>
        <n v="2800"/>
        <n v="1035"/>
        <n v="684"/>
        <n v="360"/>
        <n v="1485"/>
        <n v="1200"/>
        <n v="1799"/>
        <n v="450"/>
        <n v="3971"/>
        <n v="2690"/>
        <n v="2290"/>
        <n v="345"/>
        <n v="537"/>
        <n v="1288"/>
        <n v="1100"/>
        <n v="1700"/>
        <n v="200"/>
        <n v="2400"/>
        <n v="1660"/>
        <n v="486"/>
        <n v="1029"/>
        <n v="1874"/>
        <n v="1920"/>
        <n v="2420"/>
        <n v="1899"/>
        <n v="260"/>
        <n v="1737"/>
        <n v="1810"/>
        <n v="553"/>
        <n v="4588"/>
        <n v="320"/>
      </sharedItems>
    </cacheField>
    <cacheField name="Discount" numFmtId="9">
      <sharedItems containsSemiMixedTypes="0" containsString="0" containsNumber="1" minValue="0.01" maxValue="0.64"/>
    </cacheField>
    <cacheField name="Review" numFmtId="1">
      <sharedItems containsString="0" containsBlank="1" containsNumber="1" containsInteger="1" minValue="1" maxValue="69"/>
    </cacheField>
    <cacheField name="Rating" numFmtId="165">
      <sharedItems containsString="0" containsBlank="1" containsNumber="1" minValue="2" maxValue="5"/>
    </cacheField>
    <cacheField name="Discount Amount" numFmtId="164">
      <sharedItems containsSemiMixedTypes="0" containsString="0" containsNumber="1" containsInteger="1" minValue="24" maxValue="2585"/>
    </cacheField>
    <cacheField name="Rating Category" numFmtId="164">
      <sharedItems count="4">
        <s v="Poor"/>
        <s v="Average"/>
        <s v="Missing"/>
        <s v="Excellent"/>
      </sharedItems>
    </cacheField>
    <cacheField name="Discount Category" numFmtId="164">
      <sharedItems count="3">
        <s v="High Discount"/>
        <s v="Low Discount"/>
        <s v="Medium Discount"/>
      </sharedItems>
    </cacheField>
    <cacheField name="Price Category" numFmtId="164">
      <sharedItems count="3">
        <s v="Low Price"/>
        <s v="High Price"/>
        <s v="Medium Price"/>
      </sharedItems>
    </cacheField>
    <cacheField name="Engagement Flag" numFmtId="164">
      <sharedItems count="3">
        <s v="Low Engagement"/>
        <s v="High Engagement"/>
        <s v="Missing"/>
      </sharedItems>
    </cacheField>
    <cacheField name="Performance Flag" numFmtId="164">
      <sharedItems/>
    </cacheField>
    <cacheField name="High Rating + High Engagement" numFmtId="164">
      <sharedItems count="2">
        <s v="No"/>
        <s v="Yes"/>
      </sharedItems>
    </cacheField>
    <cacheField name="High Discount + Low Rating" numFmtId="164">
      <sharedItems/>
    </cacheField>
    <cacheField name="High Discount + High Rating" numFmtId="164">
      <sharedItems/>
    </cacheField>
    <cacheField name="Low Rating + Low Engagement" numFmtId="164">
      <sharedItems/>
    </cacheField>
    <cacheField name="Data Status" numFmtId="0">
      <sharedItems count="2">
        <s v="Complete"/>
        <s v="Missing review &amp; rating"/>
      </sharedItems>
    </cacheField>
  </cacheFields>
  <extLst>
    <ext xmlns:x14="http://schemas.microsoft.com/office/spreadsheetml/2009/9/main" uri="{725AE2AE-9491-48be-B2B4-4EB974FC3084}">
      <x14:pivotCacheDefinition pivotCacheId="1697746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450"/>
    <x v="0"/>
    <n v="0.5"/>
    <n v="1"/>
    <n v="2"/>
    <n v="450"/>
    <x v="0"/>
    <x v="0"/>
    <x v="0"/>
    <x v="0"/>
    <s v="High Discount + Low Rating"/>
    <x v="0"/>
    <s v="Yes"/>
    <s v="No"/>
    <s v="Yes"/>
    <x v="0"/>
  </r>
  <r>
    <x v="1"/>
    <n v="2115"/>
    <x v="1"/>
    <n v="0.55000000000000004"/>
    <n v="13"/>
    <n v="2.1"/>
    <n v="2585"/>
    <x v="0"/>
    <x v="0"/>
    <x v="1"/>
    <x v="0"/>
    <s v="High Discount + Low Rating"/>
    <x v="0"/>
    <s v="Yes"/>
    <s v="No"/>
    <s v="Yes"/>
    <x v="0"/>
  </r>
  <r>
    <x v="2"/>
    <n v="1570"/>
    <x v="2"/>
    <n v="0.47"/>
    <n v="7"/>
    <n v="2.1"/>
    <n v="1418"/>
    <x v="0"/>
    <x v="0"/>
    <x v="2"/>
    <x v="0"/>
    <s v="High Discount + Low Rating"/>
    <x v="0"/>
    <s v="Yes"/>
    <s v="No"/>
    <s v="Yes"/>
    <x v="0"/>
  </r>
  <r>
    <x v="3"/>
    <n v="990"/>
    <x v="3"/>
    <n v="0.45"/>
    <n v="6"/>
    <n v="2.2000000000000002"/>
    <n v="824"/>
    <x v="0"/>
    <x v="0"/>
    <x v="2"/>
    <x v="0"/>
    <s v="High Discount + Low Rating"/>
    <x v="0"/>
    <s v="Yes"/>
    <s v="No"/>
    <s v="Yes"/>
    <x v="0"/>
  </r>
  <r>
    <x v="4"/>
    <n v="968"/>
    <x v="3"/>
    <n v="0.47"/>
    <n v="6"/>
    <n v="2.2000000000000002"/>
    <n v="846"/>
    <x v="0"/>
    <x v="0"/>
    <x v="2"/>
    <x v="0"/>
    <s v="High Discount + Low Rating"/>
    <x v="0"/>
    <s v="Yes"/>
    <s v="No"/>
    <s v="Yes"/>
    <x v="0"/>
  </r>
  <r>
    <x v="5"/>
    <n v="1000"/>
    <x v="4"/>
    <n v="0.5"/>
    <n v="7"/>
    <n v="2.2999999999999998"/>
    <n v="1000"/>
    <x v="0"/>
    <x v="0"/>
    <x v="2"/>
    <x v="0"/>
    <s v="High Discount + Low Rating"/>
    <x v="0"/>
    <s v="Yes"/>
    <s v="No"/>
    <s v="Yes"/>
    <x v="0"/>
  </r>
  <r>
    <x v="6"/>
    <n v="345"/>
    <x v="5"/>
    <n v="0.43"/>
    <n v="6"/>
    <n v="2.2999999999999998"/>
    <n v="257"/>
    <x v="0"/>
    <x v="0"/>
    <x v="0"/>
    <x v="0"/>
    <s v="High Discount + Low Rating"/>
    <x v="0"/>
    <s v="Yes"/>
    <s v="No"/>
    <s v="Yes"/>
    <x v="0"/>
  </r>
  <r>
    <x v="7"/>
    <n v="2170"/>
    <x v="6"/>
    <n v="0.13"/>
    <n v="6"/>
    <n v="2.5"/>
    <n v="330"/>
    <x v="0"/>
    <x v="1"/>
    <x v="1"/>
    <x v="0"/>
    <s v="Standard"/>
    <x v="0"/>
    <s v="No"/>
    <s v="No"/>
    <s v="Yes"/>
    <x v="0"/>
  </r>
  <r>
    <x v="8"/>
    <n v="382"/>
    <x v="7"/>
    <n v="0.45"/>
    <n v="17"/>
    <n v="2.6"/>
    <n v="318"/>
    <x v="0"/>
    <x v="0"/>
    <x v="0"/>
    <x v="1"/>
    <s v="High Discount + Low Rating"/>
    <x v="0"/>
    <s v="Yes"/>
    <s v="No"/>
    <s v="No"/>
    <x v="0"/>
  </r>
  <r>
    <x v="9"/>
    <n v="325"/>
    <x v="8"/>
    <n v="0.52"/>
    <n v="15"/>
    <n v="2.7"/>
    <n v="355"/>
    <x v="0"/>
    <x v="0"/>
    <x v="0"/>
    <x v="1"/>
    <s v="High Discount + Low Rating"/>
    <x v="0"/>
    <s v="Yes"/>
    <s v="No"/>
    <s v="No"/>
    <x v="0"/>
  </r>
  <r>
    <x v="10"/>
    <n v="445"/>
    <x v="9"/>
    <n v="0.49"/>
    <n v="69"/>
    <n v="2.8"/>
    <n v="428"/>
    <x v="0"/>
    <x v="0"/>
    <x v="0"/>
    <x v="1"/>
    <s v="High Discount + Low Rating"/>
    <x v="0"/>
    <s v="Yes"/>
    <s v="No"/>
    <s v="No"/>
    <x v="0"/>
  </r>
  <r>
    <x v="11"/>
    <n v="1220"/>
    <x v="10"/>
    <n v="0.22"/>
    <n v="16"/>
    <n v="2.9"/>
    <n v="335"/>
    <x v="0"/>
    <x v="2"/>
    <x v="2"/>
    <x v="1"/>
    <s v="Standard"/>
    <x v="0"/>
    <s v="No"/>
    <s v="No"/>
    <s v="No"/>
    <x v="0"/>
  </r>
  <r>
    <x v="12"/>
    <n v="458"/>
    <x v="11"/>
    <n v="0.54"/>
    <n v="10"/>
    <n v="3"/>
    <n v="528"/>
    <x v="1"/>
    <x v="0"/>
    <x v="0"/>
    <x v="0"/>
    <s v="Standard"/>
    <x v="0"/>
    <s v="No"/>
    <s v="No"/>
    <s v="No"/>
    <x v="0"/>
  </r>
  <r>
    <x v="13"/>
    <n v="3750"/>
    <x v="12"/>
    <n v="0.39"/>
    <n v="5"/>
    <n v="3"/>
    <n v="2393"/>
    <x v="1"/>
    <x v="2"/>
    <x v="1"/>
    <x v="0"/>
    <s v="Standard"/>
    <x v="0"/>
    <s v="No"/>
    <s v="No"/>
    <s v="No"/>
    <x v="0"/>
  </r>
  <r>
    <x v="14"/>
    <n v="2300"/>
    <x v="13"/>
    <n v="0.28999999999999998"/>
    <n v="5"/>
    <n v="3"/>
    <n v="940"/>
    <x v="1"/>
    <x v="2"/>
    <x v="1"/>
    <x v="0"/>
    <s v="Standard"/>
    <x v="0"/>
    <s v="No"/>
    <s v="No"/>
    <s v="No"/>
    <x v="0"/>
  </r>
  <r>
    <x v="15"/>
    <n v="509"/>
    <x v="14"/>
    <n v="0.43"/>
    <n v="5"/>
    <n v="3"/>
    <n v="390"/>
    <x v="1"/>
    <x v="0"/>
    <x v="2"/>
    <x v="0"/>
    <s v="Standard"/>
    <x v="0"/>
    <s v="No"/>
    <s v="No"/>
    <s v="No"/>
    <x v="0"/>
  </r>
  <r>
    <x v="16"/>
    <n v="1189"/>
    <x v="15"/>
    <n v="0.46"/>
    <n v="1"/>
    <n v="3"/>
    <n v="1010"/>
    <x v="1"/>
    <x v="0"/>
    <x v="2"/>
    <x v="0"/>
    <s v="Standard"/>
    <x v="0"/>
    <s v="No"/>
    <s v="No"/>
    <s v="No"/>
    <x v="0"/>
  </r>
  <r>
    <x v="17"/>
    <n v="38"/>
    <x v="16"/>
    <n v="0.53"/>
    <n v="13"/>
    <n v="3.3"/>
    <n v="42"/>
    <x v="1"/>
    <x v="0"/>
    <x v="0"/>
    <x v="0"/>
    <s v="Standard"/>
    <x v="0"/>
    <s v="No"/>
    <s v="No"/>
    <s v="No"/>
    <x v="0"/>
  </r>
  <r>
    <x v="18"/>
    <n v="1600"/>
    <x v="17"/>
    <n v="0.45"/>
    <n v="5"/>
    <n v="3.8"/>
    <n v="1329"/>
    <x v="1"/>
    <x v="0"/>
    <x v="2"/>
    <x v="0"/>
    <s v="Standard"/>
    <x v="0"/>
    <s v="No"/>
    <s v="No"/>
    <s v="No"/>
    <x v="0"/>
  </r>
  <r>
    <x v="19"/>
    <n v="2880"/>
    <x v="18"/>
    <n v="0.18"/>
    <n v="12"/>
    <n v="3.8"/>
    <n v="640"/>
    <x v="1"/>
    <x v="1"/>
    <x v="1"/>
    <x v="0"/>
    <s v="Standard"/>
    <x v="0"/>
    <s v="No"/>
    <s v="No"/>
    <s v="No"/>
    <x v="0"/>
  </r>
  <r>
    <x v="20"/>
    <n v="1350"/>
    <x v="19"/>
    <n v="0.32"/>
    <n v="13"/>
    <n v="3.8"/>
    <n v="640"/>
    <x v="1"/>
    <x v="2"/>
    <x v="2"/>
    <x v="0"/>
    <s v="Standard"/>
    <x v="0"/>
    <s v="No"/>
    <s v="No"/>
    <s v="No"/>
    <x v="0"/>
  </r>
  <r>
    <x v="21"/>
    <n v="1860"/>
    <x v="20"/>
    <n v="0.42"/>
    <m/>
    <m/>
    <n v="1360"/>
    <x v="2"/>
    <x v="0"/>
    <x v="1"/>
    <x v="2"/>
    <s v="Missing Feedback"/>
    <x v="0"/>
    <s v="No"/>
    <s v="No"/>
    <s v="No"/>
    <x v="1"/>
  </r>
  <r>
    <x v="22"/>
    <n v="2999"/>
    <x v="21"/>
    <n v="0.09"/>
    <n v="15"/>
    <n v="4"/>
    <n v="291"/>
    <x v="1"/>
    <x v="1"/>
    <x v="1"/>
    <x v="1"/>
    <s v="Standard"/>
    <x v="0"/>
    <s v="No"/>
    <s v="No"/>
    <s v="No"/>
    <x v="0"/>
  </r>
  <r>
    <x v="23"/>
    <n v="988"/>
    <x v="22"/>
    <n v="0.37"/>
    <n v="2"/>
    <n v="4"/>
    <n v="592"/>
    <x v="1"/>
    <x v="2"/>
    <x v="2"/>
    <x v="0"/>
    <s v="Standard"/>
    <x v="0"/>
    <s v="No"/>
    <s v="No"/>
    <s v="No"/>
    <x v="0"/>
  </r>
  <r>
    <x v="24"/>
    <n v="880"/>
    <x v="23"/>
    <n v="0.35"/>
    <n v="6"/>
    <n v="4"/>
    <n v="470"/>
    <x v="1"/>
    <x v="2"/>
    <x v="2"/>
    <x v="0"/>
    <s v="Standard"/>
    <x v="0"/>
    <s v="No"/>
    <s v="No"/>
    <s v="No"/>
    <x v="0"/>
  </r>
  <r>
    <x v="25"/>
    <n v="330"/>
    <x v="24"/>
    <n v="0.49"/>
    <n v="1"/>
    <n v="4"/>
    <n v="317"/>
    <x v="1"/>
    <x v="0"/>
    <x v="0"/>
    <x v="0"/>
    <s v="Standard"/>
    <x v="0"/>
    <s v="No"/>
    <s v="No"/>
    <s v="No"/>
    <x v="0"/>
  </r>
  <r>
    <x v="26"/>
    <n v="527"/>
    <x v="25"/>
    <n v="0.47"/>
    <n v="14"/>
    <n v="4.0999999999999996"/>
    <n v="472"/>
    <x v="1"/>
    <x v="0"/>
    <x v="2"/>
    <x v="1"/>
    <s v="Standard"/>
    <x v="0"/>
    <s v="No"/>
    <s v="No"/>
    <s v="No"/>
    <x v="0"/>
  </r>
  <r>
    <x v="27"/>
    <n v="799"/>
    <x v="25"/>
    <n v="0.2"/>
    <n v="12"/>
    <n v="4.0999999999999996"/>
    <n v="200"/>
    <x v="1"/>
    <x v="1"/>
    <x v="2"/>
    <x v="0"/>
    <s v="Standard"/>
    <x v="0"/>
    <s v="No"/>
    <s v="No"/>
    <s v="No"/>
    <x v="0"/>
  </r>
  <r>
    <x v="28"/>
    <n v="1758"/>
    <x v="26"/>
    <n v="0.3"/>
    <n v="20"/>
    <n v="4.0999999999999996"/>
    <n v="741"/>
    <x v="1"/>
    <x v="2"/>
    <x v="1"/>
    <x v="1"/>
    <s v="Standard"/>
    <x v="0"/>
    <s v="No"/>
    <s v="No"/>
    <s v="No"/>
    <x v="0"/>
  </r>
  <r>
    <x v="29"/>
    <n v="2200"/>
    <x v="27"/>
    <n v="0.46"/>
    <m/>
    <m/>
    <n v="1880"/>
    <x v="2"/>
    <x v="0"/>
    <x v="1"/>
    <x v="2"/>
    <s v="Missing Feedback"/>
    <x v="0"/>
    <s v="No"/>
    <s v="No"/>
    <s v="No"/>
    <x v="1"/>
  </r>
  <r>
    <x v="30"/>
    <n v="1680"/>
    <x v="26"/>
    <n v="0.33"/>
    <n v="9"/>
    <n v="4.2"/>
    <n v="819"/>
    <x v="1"/>
    <x v="2"/>
    <x v="1"/>
    <x v="0"/>
    <s v="Standard"/>
    <x v="0"/>
    <s v="No"/>
    <s v="No"/>
    <s v="No"/>
    <x v="0"/>
  </r>
  <r>
    <x v="31"/>
    <n v="2048"/>
    <x v="28"/>
    <n v="0.54"/>
    <n v="7"/>
    <n v="4.3"/>
    <n v="2452"/>
    <x v="1"/>
    <x v="0"/>
    <x v="1"/>
    <x v="0"/>
    <s v="Standard"/>
    <x v="0"/>
    <s v="No"/>
    <s v="No"/>
    <s v="No"/>
    <x v="0"/>
  </r>
  <r>
    <x v="32"/>
    <n v="185"/>
    <x v="29"/>
    <n v="0.52"/>
    <n v="9"/>
    <n v="4.3"/>
    <n v="197"/>
    <x v="1"/>
    <x v="0"/>
    <x v="0"/>
    <x v="0"/>
    <s v="Standard"/>
    <x v="0"/>
    <s v="No"/>
    <s v="No"/>
    <s v="No"/>
    <x v="0"/>
  </r>
  <r>
    <x v="33"/>
    <n v="1820"/>
    <x v="30"/>
    <n v="0.48"/>
    <n v="9"/>
    <n v="4.3"/>
    <n v="1670"/>
    <x v="1"/>
    <x v="0"/>
    <x v="1"/>
    <x v="0"/>
    <s v="Standard"/>
    <x v="0"/>
    <s v="No"/>
    <s v="No"/>
    <s v="No"/>
    <x v="0"/>
  </r>
  <r>
    <x v="34"/>
    <n v="389"/>
    <x v="31"/>
    <n v="0.41"/>
    <n v="36"/>
    <n v="4.3"/>
    <n v="267"/>
    <x v="1"/>
    <x v="0"/>
    <x v="0"/>
    <x v="1"/>
    <s v="Standard"/>
    <x v="0"/>
    <s v="No"/>
    <s v="No"/>
    <s v="No"/>
    <x v="0"/>
  </r>
  <r>
    <x v="35"/>
    <n v="1650"/>
    <x v="32"/>
    <n v="0.23"/>
    <n v="14"/>
    <n v="4.4000000000000004"/>
    <n v="500"/>
    <x v="1"/>
    <x v="2"/>
    <x v="2"/>
    <x v="1"/>
    <s v="Standard"/>
    <x v="0"/>
    <s v="No"/>
    <s v="No"/>
    <s v="No"/>
    <x v="0"/>
  </r>
  <r>
    <x v="36"/>
    <n v="950"/>
    <x v="33"/>
    <n v="0.38"/>
    <n v="2"/>
    <n v="4.5"/>
    <n v="575"/>
    <x v="1"/>
    <x v="2"/>
    <x v="2"/>
    <x v="0"/>
    <s v="Standard"/>
    <x v="0"/>
    <s v="No"/>
    <s v="No"/>
    <s v="No"/>
    <x v="0"/>
  </r>
  <r>
    <x v="37"/>
    <n v="501"/>
    <x v="34"/>
    <n v="0.42"/>
    <n v="6"/>
    <n v="4.5"/>
    <n v="359"/>
    <x v="1"/>
    <x v="0"/>
    <x v="2"/>
    <x v="0"/>
    <s v="Standard"/>
    <x v="0"/>
    <s v="No"/>
    <s v="No"/>
    <s v="No"/>
    <x v="0"/>
  </r>
  <r>
    <x v="38"/>
    <n v="1980"/>
    <x v="35"/>
    <n v="0.27"/>
    <n v="32"/>
    <n v="4.5"/>
    <n v="719"/>
    <x v="1"/>
    <x v="2"/>
    <x v="1"/>
    <x v="1"/>
    <s v="Standard"/>
    <x v="0"/>
    <s v="No"/>
    <s v="No"/>
    <s v="No"/>
    <x v="0"/>
  </r>
  <r>
    <x v="39"/>
    <n v="2750"/>
    <x v="36"/>
    <n v="0.38"/>
    <m/>
    <m/>
    <n v="1721"/>
    <x v="2"/>
    <x v="2"/>
    <x v="1"/>
    <x v="2"/>
    <s v="Missing Feedback"/>
    <x v="0"/>
    <s v="No"/>
    <s v="No"/>
    <s v="No"/>
    <x v="1"/>
  </r>
  <r>
    <x v="40"/>
    <n v="475"/>
    <x v="37"/>
    <n v="0.49"/>
    <m/>
    <m/>
    <n v="456"/>
    <x v="2"/>
    <x v="0"/>
    <x v="0"/>
    <x v="2"/>
    <s v="Missing Feedback"/>
    <x v="0"/>
    <s v="No"/>
    <s v="No"/>
    <s v="No"/>
    <x v="1"/>
  </r>
  <r>
    <x v="41"/>
    <n v="238"/>
    <x v="38"/>
    <n v="0.5"/>
    <m/>
    <m/>
    <n v="238"/>
    <x v="2"/>
    <x v="0"/>
    <x v="0"/>
    <x v="2"/>
    <s v="Missing Feedback"/>
    <x v="0"/>
    <s v="No"/>
    <s v="No"/>
    <s v="No"/>
    <x v="1"/>
  </r>
  <r>
    <x v="42"/>
    <n v="610"/>
    <x v="39"/>
    <n v="0.42"/>
    <m/>
    <m/>
    <n v="450"/>
    <x v="2"/>
    <x v="0"/>
    <x v="2"/>
    <x v="2"/>
    <s v="Missing Feedback"/>
    <x v="0"/>
    <s v="No"/>
    <s v="No"/>
    <s v="No"/>
    <x v="1"/>
  </r>
  <r>
    <x v="43"/>
    <n v="2132"/>
    <x v="40"/>
    <n v="0.02"/>
    <m/>
    <m/>
    <n v="37"/>
    <x v="2"/>
    <x v="1"/>
    <x v="1"/>
    <x v="2"/>
    <s v="Missing Feedback"/>
    <x v="0"/>
    <s v="No"/>
    <s v="No"/>
    <s v="No"/>
    <x v="1"/>
  </r>
  <r>
    <x v="44"/>
    <n v="999"/>
    <x v="4"/>
    <n v="0.5"/>
    <m/>
    <m/>
    <n v="1001"/>
    <x v="2"/>
    <x v="0"/>
    <x v="2"/>
    <x v="2"/>
    <s v="Missing Feedback"/>
    <x v="0"/>
    <s v="No"/>
    <s v="No"/>
    <s v="No"/>
    <x v="1"/>
  </r>
  <r>
    <x v="45"/>
    <n v="1190"/>
    <x v="41"/>
    <n v="0.33"/>
    <m/>
    <m/>
    <n v="595"/>
    <x v="2"/>
    <x v="2"/>
    <x v="2"/>
    <x v="2"/>
    <s v="Missing Feedback"/>
    <x v="0"/>
    <s v="No"/>
    <s v="No"/>
    <s v="No"/>
    <x v="1"/>
  </r>
  <r>
    <x v="46"/>
    <n v="671"/>
    <x v="42"/>
    <n v="0.49"/>
    <m/>
    <m/>
    <n v="645"/>
    <x v="2"/>
    <x v="0"/>
    <x v="2"/>
    <x v="2"/>
    <s v="Missing Feedback"/>
    <x v="0"/>
    <s v="No"/>
    <s v="No"/>
    <s v="No"/>
    <x v="1"/>
  </r>
  <r>
    <x v="47"/>
    <n v="1200"/>
    <x v="43"/>
    <n v="0.38"/>
    <m/>
    <m/>
    <n v="750"/>
    <x v="2"/>
    <x v="2"/>
    <x v="2"/>
    <x v="2"/>
    <s v="Missing Feedback"/>
    <x v="0"/>
    <s v="No"/>
    <s v="No"/>
    <s v="No"/>
    <x v="1"/>
  </r>
  <r>
    <x v="48"/>
    <n v="199"/>
    <x v="44"/>
    <n v="0.61"/>
    <m/>
    <m/>
    <n v="305"/>
    <x v="2"/>
    <x v="0"/>
    <x v="0"/>
    <x v="2"/>
    <s v="Missing Feedback"/>
    <x v="0"/>
    <s v="No"/>
    <s v="No"/>
    <s v="No"/>
    <x v="1"/>
  </r>
  <r>
    <x v="49"/>
    <n v="299"/>
    <x v="45"/>
    <n v="0.5"/>
    <m/>
    <m/>
    <n v="301"/>
    <x v="2"/>
    <x v="0"/>
    <x v="0"/>
    <x v="2"/>
    <s v="Missing Feedback"/>
    <x v="0"/>
    <s v="No"/>
    <s v="No"/>
    <s v="No"/>
    <x v="1"/>
  </r>
  <r>
    <x v="50"/>
    <n v="1660"/>
    <x v="46"/>
    <n v="0.02"/>
    <m/>
    <m/>
    <n v="39"/>
    <x v="2"/>
    <x v="1"/>
    <x v="2"/>
    <x v="2"/>
    <s v="Missing Feedback"/>
    <x v="0"/>
    <s v="No"/>
    <s v="No"/>
    <s v="No"/>
    <x v="1"/>
  </r>
  <r>
    <x v="51"/>
    <n v="299"/>
    <x v="47"/>
    <n v="0.22"/>
    <m/>
    <m/>
    <n v="85"/>
    <x v="2"/>
    <x v="2"/>
    <x v="0"/>
    <x v="2"/>
    <s v="Missing Feedback"/>
    <x v="0"/>
    <s v="No"/>
    <s v="No"/>
    <s v="No"/>
    <x v="1"/>
  </r>
  <r>
    <x v="52"/>
    <n v="1459"/>
    <x v="48"/>
    <n v="0.03"/>
    <m/>
    <m/>
    <n v="40"/>
    <x v="2"/>
    <x v="1"/>
    <x v="2"/>
    <x v="2"/>
    <s v="Missing Feedback"/>
    <x v="0"/>
    <s v="No"/>
    <s v="No"/>
    <s v="No"/>
    <x v="1"/>
  </r>
  <r>
    <x v="53"/>
    <n v="799"/>
    <x v="49"/>
    <n v="0.41"/>
    <m/>
    <m/>
    <n v="544"/>
    <x v="2"/>
    <x v="0"/>
    <x v="2"/>
    <x v="2"/>
    <s v="Missing Feedback"/>
    <x v="0"/>
    <s v="No"/>
    <s v="No"/>
    <s v="No"/>
    <x v="1"/>
  </r>
  <r>
    <x v="54"/>
    <n v="499"/>
    <x v="0"/>
    <n v="0.45"/>
    <m/>
    <m/>
    <n v="401"/>
    <x v="2"/>
    <x v="0"/>
    <x v="2"/>
    <x v="2"/>
    <s v="Missing Feedback"/>
    <x v="0"/>
    <s v="No"/>
    <s v="No"/>
    <s v="No"/>
    <x v="1"/>
  </r>
  <r>
    <x v="55"/>
    <n v="699"/>
    <x v="49"/>
    <n v="0.48"/>
    <m/>
    <m/>
    <n v="644"/>
    <x v="2"/>
    <x v="0"/>
    <x v="2"/>
    <x v="2"/>
    <s v="Missing Feedback"/>
    <x v="0"/>
    <s v="No"/>
    <s v="No"/>
    <s v="No"/>
    <x v="1"/>
  </r>
  <r>
    <x v="56"/>
    <n v="799"/>
    <x v="50"/>
    <n v="0.49"/>
    <m/>
    <m/>
    <n v="768"/>
    <x v="2"/>
    <x v="0"/>
    <x v="2"/>
    <x v="2"/>
    <s v="Missing Feedback"/>
    <x v="0"/>
    <s v="No"/>
    <s v="No"/>
    <s v="No"/>
    <x v="1"/>
  </r>
  <r>
    <x v="57"/>
    <n v="2799"/>
    <x v="51"/>
    <n v="0.27"/>
    <m/>
    <m/>
    <n v="1011"/>
    <x v="2"/>
    <x v="2"/>
    <x v="1"/>
    <x v="2"/>
    <s v="Missing Feedback"/>
    <x v="0"/>
    <s v="No"/>
    <s v="No"/>
    <s v="No"/>
    <x v="1"/>
  </r>
  <r>
    <x v="54"/>
    <n v="399"/>
    <x v="52"/>
    <n v="0.55000000000000004"/>
    <m/>
    <m/>
    <n v="497"/>
    <x v="2"/>
    <x v="0"/>
    <x v="0"/>
    <x v="2"/>
    <s v="Missing Feedback"/>
    <x v="0"/>
    <s v="No"/>
    <s v="No"/>
    <s v="No"/>
    <x v="1"/>
  </r>
  <r>
    <x v="58"/>
    <n v="1800"/>
    <x v="53"/>
    <n v="0.38"/>
    <n v="2"/>
    <n v="4.5"/>
    <n v="900"/>
    <x v="1"/>
    <x v="2"/>
    <x v="1"/>
    <x v="0"/>
    <s v="Standard"/>
    <x v="0"/>
    <s v="No"/>
    <s v="No"/>
    <s v="No"/>
    <x v="0"/>
  </r>
  <r>
    <x v="59"/>
    <n v="2199"/>
    <x v="54"/>
    <n v="0.25"/>
    <n v="24"/>
    <n v="4.5999999999999996"/>
    <n v="724"/>
    <x v="3"/>
    <x v="2"/>
    <x v="1"/>
    <x v="1"/>
    <s v="High Rating + High Engagement"/>
    <x v="1"/>
    <s v="No"/>
    <s v="No"/>
    <s v="No"/>
    <x v="0"/>
  </r>
  <r>
    <x v="60"/>
    <n v="2319"/>
    <x v="55"/>
    <n v="0.24"/>
    <n v="55"/>
    <n v="4.5999999999999996"/>
    <n v="713"/>
    <x v="3"/>
    <x v="2"/>
    <x v="1"/>
    <x v="1"/>
    <s v="High Rating + High Engagement"/>
    <x v="1"/>
    <s v="No"/>
    <s v="No"/>
    <s v="No"/>
    <x v="0"/>
  </r>
  <r>
    <x v="61"/>
    <n v="2999"/>
    <x v="56"/>
    <n v="0.19"/>
    <n v="5"/>
    <n v="4.5999999999999996"/>
    <n v="700"/>
    <x v="3"/>
    <x v="1"/>
    <x v="1"/>
    <x v="0"/>
    <s v="Standard"/>
    <x v="0"/>
    <s v="No"/>
    <s v="No"/>
    <s v="No"/>
    <x v="0"/>
  </r>
  <r>
    <x v="62"/>
    <n v="998"/>
    <x v="57"/>
    <n v="0.49"/>
    <n v="44"/>
    <n v="4.5999999999999996"/>
    <n v="968"/>
    <x v="3"/>
    <x v="0"/>
    <x v="2"/>
    <x v="1"/>
    <s v="High Rating + High Engagement"/>
    <x v="1"/>
    <s v="No"/>
    <s v="Yes"/>
    <s v="No"/>
    <x v="0"/>
  </r>
  <r>
    <x v="63"/>
    <n v="420"/>
    <x v="24"/>
    <n v="0.35"/>
    <n v="49"/>
    <n v="4.5999999999999996"/>
    <n v="227"/>
    <x v="3"/>
    <x v="2"/>
    <x v="0"/>
    <x v="1"/>
    <s v="High Rating + High Engagement"/>
    <x v="1"/>
    <s v="No"/>
    <s v="No"/>
    <s v="No"/>
    <x v="0"/>
  </r>
  <r>
    <x v="64"/>
    <n v="1580"/>
    <x v="26"/>
    <n v="0.37"/>
    <n v="7"/>
    <n v="4.7"/>
    <n v="919"/>
    <x v="3"/>
    <x v="2"/>
    <x v="2"/>
    <x v="0"/>
    <s v="Standard"/>
    <x v="0"/>
    <s v="No"/>
    <s v="No"/>
    <s v="No"/>
    <x v="0"/>
  </r>
  <r>
    <x v="65"/>
    <n v="990"/>
    <x v="58"/>
    <n v="0.34"/>
    <n v="39"/>
    <n v="4.7"/>
    <n v="510"/>
    <x v="3"/>
    <x v="2"/>
    <x v="2"/>
    <x v="1"/>
    <s v="High Rating + High Engagement"/>
    <x v="1"/>
    <s v="No"/>
    <s v="No"/>
    <s v="No"/>
    <x v="0"/>
  </r>
  <r>
    <x v="66"/>
    <n v="980"/>
    <x v="59"/>
    <n v="0.34"/>
    <n v="12"/>
    <n v="4.7"/>
    <n v="510"/>
    <x v="3"/>
    <x v="2"/>
    <x v="2"/>
    <x v="0"/>
    <s v="Standard"/>
    <x v="0"/>
    <s v="No"/>
    <s v="No"/>
    <s v="No"/>
    <x v="0"/>
  </r>
  <r>
    <x v="67"/>
    <n v="1940"/>
    <x v="60"/>
    <n v="0.27"/>
    <n v="20"/>
    <n v="4.7"/>
    <n v="710"/>
    <x v="3"/>
    <x v="2"/>
    <x v="1"/>
    <x v="1"/>
    <s v="High Rating + High Engagement"/>
    <x v="1"/>
    <s v="No"/>
    <s v="No"/>
    <s v="No"/>
    <x v="0"/>
  </r>
  <r>
    <x v="68"/>
    <n v="1740"/>
    <x v="61"/>
    <n v="0.26"/>
    <n v="5"/>
    <n v="4.8"/>
    <n v="616"/>
    <x v="3"/>
    <x v="2"/>
    <x v="1"/>
    <x v="0"/>
    <s v="Standard"/>
    <x v="0"/>
    <s v="No"/>
    <s v="No"/>
    <s v="No"/>
    <x v="0"/>
  </r>
  <r>
    <x v="69"/>
    <n v="1274"/>
    <x v="62"/>
    <n v="0.55000000000000004"/>
    <n v="5"/>
    <n v="4.8"/>
    <n v="1526"/>
    <x v="3"/>
    <x v="0"/>
    <x v="2"/>
    <x v="0"/>
    <s v="High Discount + High Rating"/>
    <x v="0"/>
    <s v="No"/>
    <s v="Yes"/>
    <s v="No"/>
    <x v="0"/>
  </r>
  <r>
    <x v="70"/>
    <n v="552"/>
    <x v="63"/>
    <n v="0.47"/>
    <n v="12"/>
    <n v="4.8"/>
    <n v="483"/>
    <x v="3"/>
    <x v="0"/>
    <x v="2"/>
    <x v="0"/>
    <s v="High Discount + High Rating"/>
    <x v="0"/>
    <s v="No"/>
    <s v="Yes"/>
    <s v="No"/>
    <x v="0"/>
  </r>
  <r>
    <x v="71"/>
    <n v="332"/>
    <x v="64"/>
    <n v="0.51"/>
    <n v="2"/>
    <n v="5"/>
    <n v="352"/>
    <x v="3"/>
    <x v="0"/>
    <x v="0"/>
    <x v="0"/>
    <s v="High Discount + High Rating"/>
    <x v="0"/>
    <s v="No"/>
    <s v="Yes"/>
    <s v="No"/>
    <x v="0"/>
  </r>
  <r>
    <x v="72"/>
    <n v="195"/>
    <x v="65"/>
    <n v="0.46"/>
    <n v="2"/>
    <n v="5"/>
    <n v="165"/>
    <x v="3"/>
    <x v="0"/>
    <x v="0"/>
    <x v="0"/>
    <s v="High Discount + High Rating"/>
    <x v="0"/>
    <s v="No"/>
    <s v="Yes"/>
    <s v="No"/>
    <x v="0"/>
  </r>
  <r>
    <x v="73"/>
    <n v="790"/>
    <x v="66"/>
    <n v="0.47"/>
    <m/>
    <m/>
    <n v="695"/>
    <x v="2"/>
    <x v="0"/>
    <x v="2"/>
    <x v="2"/>
    <s v="Missing Feedback"/>
    <x v="0"/>
    <s v="No"/>
    <s v="No"/>
    <s v="No"/>
    <x v="1"/>
  </r>
  <r>
    <x v="74"/>
    <n v="690"/>
    <x v="67"/>
    <n v="0.43"/>
    <m/>
    <m/>
    <n v="510"/>
    <x v="2"/>
    <x v="0"/>
    <x v="2"/>
    <x v="2"/>
    <s v="Missing Feedback"/>
    <x v="0"/>
    <s v="No"/>
    <s v="No"/>
    <s v="No"/>
    <x v="1"/>
  </r>
  <r>
    <x v="75"/>
    <n v="1732"/>
    <x v="68"/>
    <n v="0.04"/>
    <m/>
    <m/>
    <n v="67"/>
    <x v="2"/>
    <x v="1"/>
    <x v="1"/>
    <x v="2"/>
    <s v="Missing Feedback"/>
    <x v="0"/>
    <s v="No"/>
    <s v="No"/>
    <s v="No"/>
    <x v="1"/>
  </r>
  <r>
    <x v="76"/>
    <n v="230"/>
    <x v="69"/>
    <n v="0.49"/>
    <m/>
    <m/>
    <n v="220"/>
    <x v="2"/>
    <x v="0"/>
    <x v="0"/>
    <x v="2"/>
    <s v="Missing Feedback"/>
    <x v="0"/>
    <s v="No"/>
    <s v="No"/>
    <s v="No"/>
    <x v="1"/>
  </r>
  <r>
    <x v="77"/>
    <n v="2025"/>
    <x v="70"/>
    <n v="0.49"/>
    <n v="3"/>
    <n v="5"/>
    <n v="1946"/>
    <x v="3"/>
    <x v="0"/>
    <x v="1"/>
    <x v="0"/>
    <s v="High Discount + High Rating"/>
    <x v="0"/>
    <s v="No"/>
    <s v="Yes"/>
    <s v="No"/>
    <x v="0"/>
  </r>
  <r>
    <x v="78"/>
    <n v="1620"/>
    <x v="71"/>
    <n v="0.4"/>
    <n v="1"/>
    <n v="5"/>
    <n v="1070"/>
    <x v="3"/>
    <x v="2"/>
    <x v="2"/>
    <x v="0"/>
    <s v="Standard"/>
    <x v="0"/>
    <s v="No"/>
    <s v="No"/>
    <s v="No"/>
    <x v="0"/>
  </r>
  <r>
    <x v="79"/>
    <n v="1460"/>
    <x v="72"/>
    <n v="0.36"/>
    <m/>
    <m/>
    <n v="830"/>
    <x v="2"/>
    <x v="2"/>
    <x v="2"/>
    <x v="2"/>
    <s v="Missing Feedback"/>
    <x v="0"/>
    <s v="No"/>
    <s v="No"/>
    <s v="No"/>
    <x v="1"/>
  </r>
  <r>
    <x v="80"/>
    <n v="1666"/>
    <x v="46"/>
    <n v="0.02"/>
    <m/>
    <m/>
    <n v="33"/>
    <x v="2"/>
    <x v="1"/>
    <x v="2"/>
    <x v="2"/>
    <s v="Missing Feedback"/>
    <x v="0"/>
    <s v="No"/>
    <s v="No"/>
    <s v="No"/>
    <x v="1"/>
  </r>
  <r>
    <x v="81"/>
    <n v="171"/>
    <x v="65"/>
    <n v="0.53"/>
    <n v="2"/>
    <n v="5"/>
    <n v="189"/>
    <x v="3"/>
    <x v="0"/>
    <x v="0"/>
    <x v="0"/>
    <s v="High Discount + High Rating"/>
    <x v="0"/>
    <s v="No"/>
    <s v="Yes"/>
    <s v="No"/>
    <x v="0"/>
  </r>
  <r>
    <x v="48"/>
    <n v="176"/>
    <x v="73"/>
    <n v="0.49"/>
    <m/>
    <m/>
    <n v="169"/>
    <x v="2"/>
    <x v="0"/>
    <x v="0"/>
    <x v="2"/>
    <s v="Missing Feedback"/>
    <x v="0"/>
    <s v="No"/>
    <s v="No"/>
    <s v="No"/>
    <x v="1"/>
  </r>
  <r>
    <x v="82"/>
    <n v="1466"/>
    <x v="46"/>
    <n v="0.14000000000000001"/>
    <m/>
    <m/>
    <n v="233"/>
    <x v="2"/>
    <x v="1"/>
    <x v="2"/>
    <x v="2"/>
    <s v="Missing Feedback"/>
    <x v="0"/>
    <s v="No"/>
    <s v="No"/>
    <s v="No"/>
    <x v="1"/>
  </r>
  <r>
    <x v="83"/>
    <n v="274"/>
    <x v="74"/>
    <n v="0.49"/>
    <m/>
    <m/>
    <n v="263"/>
    <x v="2"/>
    <x v="0"/>
    <x v="0"/>
    <x v="2"/>
    <s v="Missing Feedback"/>
    <x v="0"/>
    <s v="No"/>
    <s v="No"/>
    <s v="No"/>
    <x v="1"/>
  </r>
  <r>
    <x v="84"/>
    <n v="799"/>
    <x v="0"/>
    <n v="0.11"/>
    <m/>
    <m/>
    <n v="101"/>
    <x v="2"/>
    <x v="1"/>
    <x v="2"/>
    <x v="2"/>
    <s v="Missing Feedback"/>
    <x v="0"/>
    <s v="No"/>
    <s v="No"/>
    <s v="No"/>
    <x v="1"/>
  </r>
  <r>
    <x v="56"/>
    <n v="657"/>
    <x v="75"/>
    <n v="0.49"/>
    <m/>
    <m/>
    <n v="631"/>
    <x v="2"/>
    <x v="0"/>
    <x v="2"/>
    <x v="2"/>
    <s v="Missing Feedback"/>
    <x v="0"/>
    <s v="No"/>
    <s v="No"/>
    <s v="No"/>
    <x v="1"/>
  </r>
  <r>
    <x v="85"/>
    <n v="1468"/>
    <x v="46"/>
    <n v="0.14000000000000001"/>
    <m/>
    <m/>
    <n v="231"/>
    <x v="2"/>
    <x v="1"/>
    <x v="2"/>
    <x v="2"/>
    <s v="Missing Feedback"/>
    <x v="0"/>
    <s v="No"/>
    <s v="No"/>
    <s v="No"/>
    <x v="1"/>
  </r>
  <r>
    <x v="86"/>
    <n v="630"/>
    <x v="76"/>
    <n v="0.43"/>
    <m/>
    <m/>
    <n v="470"/>
    <x v="2"/>
    <x v="0"/>
    <x v="2"/>
    <x v="2"/>
    <s v="Missing Feedback"/>
    <x v="0"/>
    <s v="No"/>
    <s v="No"/>
    <s v="No"/>
    <x v="1"/>
  </r>
  <r>
    <x v="87"/>
    <n v="850"/>
    <x v="77"/>
    <n v="0.5"/>
    <m/>
    <m/>
    <n v="850"/>
    <x v="2"/>
    <x v="0"/>
    <x v="2"/>
    <x v="2"/>
    <s v="Missing Feedback"/>
    <x v="0"/>
    <s v="No"/>
    <s v="No"/>
    <s v="No"/>
    <x v="1"/>
  </r>
  <r>
    <x v="88"/>
    <n v="1300"/>
    <x v="6"/>
    <n v="0.48"/>
    <m/>
    <m/>
    <n v="1200"/>
    <x v="2"/>
    <x v="0"/>
    <x v="2"/>
    <x v="2"/>
    <s v="Missing Feedback"/>
    <x v="0"/>
    <s v="No"/>
    <s v="No"/>
    <s v="No"/>
    <x v="1"/>
  </r>
  <r>
    <x v="89"/>
    <n v="105"/>
    <x v="78"/>
    <n v="0.48"/>
    <m/>
    <m/>
    <n v="95"/>
    <x v="2"/>
    <x v="0"/>
    <x v="0"/>
    <x v="2"/>
    <s v="Missing Feedback"/>
    <x v="0"/>
    <s v="No"/>
    <s v="No"/>
    <s v="No"/>
    <x v="1"/>
  </r>
  <r>
    <x v="90"/>
    <n v="899"/>
    <x v="46"/>
    <n v="0.47"/>
    <m/>
    <m/>
    <n v="800"/>
    <x v="2"/>
    <x v="0"/>
    <x v="2"/>
    <x v="2"/>
    <s v="Missing Feedback"/>
    <x v="0"/>
    <s v="No"/>
    <s v="No"/>
    <s v="No"/>
    <x v="1"/>
  </r>
  <r>
    <x v="91"/>
    <n v="1200"/>
    <x v="79"/>
    <n v="0.5"/>
    <m/>
    <m/>
    <n v="1200"/>
    <x v="2"/>
    <x v="0"/>
    <x v="2"/>
    <x v="2"/>
    <s v="Missing Feedback"/>
    <x v="0"/>
    <s v="No"/>
    <s v="No"/>
    <s v="No"/>
    <x v="1"/>
  </r>
  <r>
    <x v="92"/>
    <n v="1526"/>
    <x v="80"/>
    <n v="0.08"/>
    <m/>
    <m/>
    <n v="134"/>
    <x v="2"/>
    <x v="1"/>
    <x v="2"/>
    <x v="2"/>
    <s v="Missing Feedback"/>
    <x v="0"/>
    <s v="No"/>
    <s v="No"/>
    <s v="No"/>
    <x v="1"/>
  </r>
  <r>
    <x v="93"/>
    <n v="1462"/>
    <x v="48"/>
    <n v="0.02"/>
    <m/>
    <m/>
    <n v="37"/>
    <x v="2"/>
    <x v="1"/>
    <x v="2"/>
    <x v="2"/>
    <s v="Missing Feedback"/>
    <x v="0"/>
    <s v="No"/>
    <s v="No"/>
    <s v="No"/>
    <x v="1"/>
  </r>
  <r>
    <x v="94"/>
    <n v="248"/>
    <x v="81"/>
    <n v="0.49"/>
    <m/>
    <m/>
    <n v="238"/>
    <x v="2"/>
    <x v="0"/>
    <x v="0"/>
    <x v="2"/>
    <s v="Missing Feedback"/>
    <x v="0"/>
    <s v="No"/>
    <s v="No"/>
    <s v="No"/>
    <x v="1"/>
  </r>
  <r>
    <x v="95"/>
    <n v="3546"/>
    <x v="56"/>
    <n v="0.04"/>
    <m/>
    <m/>
    <n v="153"/>
    <x v="2"/>
    <x v="1"/>
    <x v="1"/>
    <x v="2"/>
    <s v="Missing Feedback"/>
    <x v="0"/>
    <s v="No"/>
    <s v="No"/>
    <s v="No"/>
    <x v="1"/>
  </r>
  <r>
    <x v="96"/>
    <n v="525"/>
    <x v="82"/>
    <n v="0.49"/>
    <m/>
    <m/>
    <n v="504"/>
    <x v="2"/>
    <x v="0"/>
    <x v="2"/>
    <x v="2"/>
    <s v="Missing Feedback"/>
    <x v="0"/>
    <s v="No"/>
    <s v="No"/>
    <s v="No"/>
    <x v="1"/>
  </r>
  <r>
    <x v="97"/>
    <n v="1080"/>
    <x v="83"/>
    <n v="0.42"/>
    <m/>
    <m/>
    <n v="794"/>
    <x v="2"/>
    <x v="0"/>
    <x v="2"/>
    <x v="2"/>
    <s v="Missing Feedback"/>
    <x v="0"/>
    <s v="No"/>
    <s v="No"/>
    <s v="No"/>
    <x v="1"/>
  </r>
  <r>
    <x v="98"/>
    <n v="979"/>
    <x v="84"/>
    <n v="0.49"/>
    <n v="1"/>
    <n v="5"/>
    <n v="941"/>
    <x v="3"/>
    <x v="0"/>
    <x v="2"/>
    <x v="0"/>
    <s v="High Discount + High Rating"/>
    <x v="0"/>
    <s v="No"/>
    <s v="Yes"/>
    <s v="No"/>
    <x v="0"/>
  </r>
  <r>
    <x v="99"/>
    <n v="1420"/>
    <x v="85"/>
    <n v="0.41"/>
    <m/>
    <m/>
    <n v="1000"/>
    <x v="2"/>
    <x v="0"/>
    <x v="2"/>
    <x v="2"/>
    <s v="Missing Feedback"/>
    <x v="0"/>
    <s v="No"/>
    <s v="No"/>
    <s v="No"/>
    <x v="1"/>
  </r>
  <r>
    <x v="100"/>
    <n v="1875"/>
    <x v="86"/>
    <n v="0.01"/>
    <m/>
    <m/>
    <n v="24"/>
    <x v="2"/>
    <x v="1"/>
    <x v="1"/>
    <x v="2"/>
    <s v="Missing Feedback"/>
    <x v="0"/>
    <s v="No"/>
    <s v="No"/>
    <s v="No"/>
    <x v="1"/>
  </r>
  <r>
    <x v="101"/>
    <n v="198"/>
    <x v="87"/>
    <n v="0.24"/>
    <m/>
    <m/>
    <n v="62"/>
    <x v="2"/>
    <x v="2"/>
    <x v="0"/>
    <x v="2"/>
    <s v="Missing Feedback"/>
    <x v="0"/>
    <s v="No"/>
    <s v="No"/>
    <s v="No"/>
    <x v="1"/>
  </r>
  <r>
    <x v="102"/>
    <n v="1150"/>
    <x v="88"/>
    <n v="0.34"/>
    <m/>
    <m/>
    <n v="587"/>
    <x v="2"/>
    <x v="2"/>
    <x v="2"/>
    <x v="2"/>
    <s v="Missing Feedback"/>
    <x v="0"/>
    <s v="No"/>
    <s v="No"/>
    <s v="No"/>
    <x v="1"/>
  </r>
  <r>
    <x v="103"/>
    <n v="1190"/>
    <x v="89"/>
    <n v="0.34"/>
    <m/>
    <m/>
    <n v="620"/>
    <x v="2"/>
    <x v="2"/>
    <x v="2"/>
    <x v="2"/>
    <s v="Missing Feedback"/>
    <x v="0"/>
    <s v="No"/>
    <s v="No"/>
    <s v="No"/>
    <x v="1"/>
  </r>
  <r>
    <x v="104"/>
    <n v="1658"/>
    <x v="46"/>
    <n v="0.02"/>
    <m/>
    <m/>
    <n v="41"/>
    <x v="2"/>
    <x v="1"/>
    <x v="2"/>
    <x v="2"/>
    <s v="Missing Feedback"/>
    <x v="0"/>
    <s v="No"/>
    <s v="No"/>
    <s v="No"/>
    <x v="1"/>
  </r>
  <r>
    <x v="105"/>
    <n v="1768"/>
    <x v="68"/>
    <n v="0.02"/>
    <m/>
    <m/>
    <n v="31"/>
    <x v="2"/>
    <x v="1"/>
    <x v="1"/>
    <x v="2"/>
    <s v="Missing Feedback"/>
    <x v="0"/>
    <s v="No"/>
    <s v="No"/>
    <s v="No"/>
    <x v="1"/>
  </r>
  <r>
    <x v="106"/>
    <n v="199"/>
    <x v="90"/>
    <n v="0.64"/>
    <m/>
    <m/>
    <n v="354"/>
    <x v="2"/>
    <x v="0"/>
    <x v="0"/>
    <x v="2"/>
    <s v="Missing Feedback"/>
    <x v="0"/>
    <s v="No"/>
    <s v="No"/>
    <s v="No"/>
    <x v="1"/>
  </r>
  <r>
    <x v="107"/>
    <n v="3640"/>
    <x v="91"/>
    <n v="0.21"/>
    <n v="1"/>
    <n v="5"/>
    <n v="948"/>
    <x v="3"/>
    <x v="2"/>
    <x v="1"/>
    <x v="0"/>
    <s v="Standard"/>
    <x v="0"/>
    <s v="No"/>
    <s v="No"/>
    <s v="No"/>
    <x v="0"/>
  </r>
  <r>
    <x v="108"/>
    <n v="169"/>
    <x v="92"/>
    <n v="0.47"/>
    <m/>
    <m/>
    <n v="151"/>
    <x v="2"/>
    <x v="0"/>
    <x v="0"/>
    <x v="2"/>
    <s v="Missing Feedback"/>
    <x v="0"/>
    <s v="No"/>
    <s v="No"/>
    <s v="N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C238E-DA7B-4526-8879-CE4895EEF8B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Review Count (Bottom 5 Products)">
  <location ref="A51:B56" firstHeaderRow="1" firstDataRow="1" firstDataCol="1" rowPageCount="1" colPageCount="1"/>
  <pivotFields count="17">
    <pivotField axis="axisRow" showAll="0" measureFilter="1" sortType="descending">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Page" multipleItemSelectionAllowed="1" showAll="0">
      <items count="3">
        <item x="0"/>
        <item h="1" x="1"/>
        <item t="default"/>
      </items>
    </pivotField>
  </pivotFields>
  <rowFields count="1">
    <field x="0"/>
  </rowFields>
  <rowItems count="5">
    <i>
      <x v="35"/>
    </i>
    <i>
      <x v="41"/>
    </i>
    <i>
      <x v="30"/>
    </i>
    <i>
      <x v="58"/>
    </i>
    <i>
      <x v="104"/>
    </i>
  </rowItems>
  <colItems count="1">
    <i/>
  </colItems>
  <pageFields count="1">
    <pageField fld="16" hier="-1"/>
  </pageFields>
  <dataFields count="1">
    <dataField name="Average of Rating" fld="5" subtotal="average" baseField="0" baseItem="0"/>
  </dataFields>
  <pivotTableStyleInfo name="PivotStyleLight16" showRowHeaders="1" showColHeaders="1" showRowStripes="0" showColStripes="0" showLastColumn="1"/>
  <filters count="1">
    <filter fld="0"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E395FD-42F3-4814-9805-5C400266686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Review Count (Top 5 Products)">
  <location ref="A39:B46" firstHeaderRow="1" firstDataRow="1" firstDataCol="1"/>
  <pivotFields count="17">
    <pivotField axis="axisRow" showAll="0" measureFilter="1" sortType="descending">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0"/>
  </rowFields>
  <rowItems count="7">
    <i>
      <x v="40"/>
    </i>
    <i>
      <x v="68"/>
    </i>
    <i>
      <x v="65"/>
    </i>
    <i>
      <x v="44"/>
    </i>
    <i>
      <x v="87"/>
    </i>
    <i>
      <x v="52"/>
    </i>
    <i>
      <x v="57"/>
    </i>
  </rowItems>
  <colItems count="1">
    <i/>
  </colItems>
  <dataFields count="1">
    <dataField name="Average of Rating" fld="5" subtotal="average" baseField="0" baseItem="0"/>
  </dataField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4EB4A3-F12D-4975-B5A1-0EED6942F8DF}"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Review Count (Top 10 Products)">
  <location ref="A87:B97" firstHeaderRow="1" firstDataRow="1" firstDataCol="1"/>
  <pivotFields count="17">
    <pivotField axis="axisRow" showAll="0" measureFilter="1" sortType="descending">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0"/>
  </rowFields>
  <rowItems count="10">
    <i>
      <x v="52"/>
    </i>
    <i>
      <x v="68"/>
    </i>
    <i>
      <x v="65"/>
    </i>
    <i>
      <x v="40"/>
    </i>
    <i>
      <x v="87"/>
    </i>
    <i>
      <x v="44"/>
    </i>
    <i>
      <x v="57"/>
    </i>
    <i>
      <x v="70"/>
    </i>
    <i>
      <x v="90"/>
    </i>
    <i>
      <x v="22"/>
    </i>
  </rowItems>
  <colItems count="1">
    <i/>
  </colItems>
  <dataFields count="1">
    <dataField name="Average of Rating" fld="5" subtotal="average"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1CF83-7CC2-430D-898E-9B67C4AD8CD6}"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Review Count (Top 10 Products)">
  <location ref="A74:B84" firstHeaderRow="1" firstDataRow="1" firstDataCol="1"/>
  <pivotFields count="17">
    <pivotField axis="axisRow" showAll="0" measureFilter="1" sortType="descending">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0"/>
  </rowFields>
  <rowItems count="10">
    <i>
      <x v="5"/>
    </i>
    <i>
      <x v="8"/>
    </i>
    <i>
      <x v="59"/>
    </i>
    <i>
      <x v="18"/>
    </i>
    <i>
      <x v="1"/>
    </i>
    <i>
      <x v="95"/>
    </i>
    <i>
      <x v="27"/>
    </i>
    <i>
      <x v="91"/>
    </i>
    <i>
      <x v="28"/>
    </i>
    <i>
      <x v="26"/>
    </i>
  </rowItems>
  <colItems count="1">
    <i/>
  </colItems>
  <dataFields count="1">
    <dataField name="Sum of Review" fld="4" baseField="0" baseItem="5"/>
  </dataFields>
  <pivotTableStyleInfo name="PivotStyleLight16" showRowHeaders="1" showColHeaders="1" showRowStripes="0" showColStripes="0" showLastColumn="1"/>
  <filters count="1">
    <filter fld="0"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7673BC-F8C4-4BA7-85D7-1502B255BE9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Review Count (Top 10 Products)">
  <location ref="A61:B71" firstHeaderRow="1" firstDataRow="1" firstDataCol="1"/>
  <pivotFields count="17">
    <pivotField axis="axisRow" showAll="0" measureFilter="1" sortType="descending">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9" showAll="0"/>
    <pivotField showAll="0"/>
    <pivotField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0"/>
  </rowFields>
  <rowItems count="10">
    <i>
      <x v="31"/>
    </i>
    <i>
      <x v="70"/>
    </i>
    <i>
      <x v="30"/>
    </i>
    <i>
      <x v="53"/>
    </i>
    <i>
      <x v="67"/>
    </i>
    <i>
      <x v="84"/>
    </i>
    <i>
      <x v="52"/>
    </i>
    <i>
      <x v="20"/>
    </i>
    <i>
      <x v="60"/>
    </i>
    <i>
      <x v="64"/>
    </i>
  </rowItems>
  <colItems count="1">
    <i/>
  </colItems>
  <dataFields count="1">
    <dataField name="Average of Discount" fld="3" subtotal="average" baseField="0" baseItem="0" numFmtId="9"/>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0DA8F3-C8F9-425E-A278-79D6C4A1E0D9}" name="ptBottom10Review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Review Count  (Bottom 10 Products)">
  <location ref="A49:B61" firstHeaderRow="1" firstDataRow="1" firstDataCol="1" rowPageCount="1" colPageCount="1"/>
  <pivotFields count="17">
    <pivotField axis="axisRow" showAll="0" measureFilter="1">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pivotField>
    <pivotField numFmtId="164" showAll="0"/>
    <pivotField numFmtId="164" showAll="0"/>
    <pivotField numFmtId="9" showAll="0"/>
    <pivotField dataField="1" showAll="0"/>
    <pivotField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Page" multipleItemSelectionAllowed="1" showAll="0">
      <items count="3">
        <item x="0"/>
        <item h="1" x="1"/>
        <item t="default"/>
      </items>
    </pivotField>
  </pivotFields>
  <rowFields count="1">
    <field x="0"/>
  </rowFields>
  <rowItems count="12">
    <i>
      <x/>
    </i>
    <i>
      <x v="2"/>
    </i>
    <i>
      <x v="40"/>
    </i>
    <i>
      <x v="44"/>
    </i>
    <i>
      <x v="52"/>
    </i>
    <i>
      <x v="56"/>
    </i>
    <i>
      <x v="57"/>
    </i>
    <i>
      <x v="63"/>
    </i>
    <i>
      <x v="65"/>
    </i>
    <i>
      <x v="76"/>
    </i>
    <i>
      <x v="87"/>
    </i>
    <i>
      <x v="104"/>
    </i>
  </rowItems>
  <colItems count="1">
    <i/>
  </colItems>
  <pageFields count="1">
    <pageField fld="16" hier="-1"/>
  </pageFields>
  <dataFields count="1">
    <dataField name="Min of Review" fld="4" subtotal="min" baseField="0" baseItem="0"/>
  </dataFields>
  <pivotTableStyleInfo name="PivotStyleLight16" showRowHeaders="1" showColHeaders="1" showRowStripes="0" showColStripes="0" showLastColumn="1"/>
  <filters count="1">
    <filter fld="0" type="count" evalOrder="-1" id="2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281A41-EFAF-40A4-A4AD-F63CDC9E891D}" name="ptTop10Review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Review Count (Top 10 Products)">
  <location ref="A32:B42" firstHeaderRow="1" firstDataRow="1" firstDataCol="1"/>
  <pivotFields count="17">
    <pivotField axis="axisRow" showAll="0" measureFilter="1" sortType="descending">
      <items count="110">
        <item x="58"/>
        <item x="65"/>
        <item x="36"/>
        <item x="20"/>
        <item x="66"/>
        <item x="10"/>
        <item x="57"/>
        <item x="18"/>
        <item x="60"/>
        <item x="101"/>
        <item x="80"/>
        <item x="22"/>
        <item x="100"/>
        <item x="91"/>
        <item x="47"/>
        <item x="73"/>
        <item x="13"/>
        <item x="5"/>
        <item x="62"/>
        <item x="74"/>
        <item x="17"/>
        <item x="94"/>
        <item x="70"/>
        <item x="40"/>
        <item x="21"/>
        <item x="7"/>
        <item x="28"/>
        <item x="38"/>
        <item x="67"/>
        <item x="79"/>
        <item x="1"/>
        <item x="106"/>
        <item x="90"/>
        <item x="45"/>
        <item x="76"/>
        <item x="4"/>
        <item x="97"/>
        <item x="99"/>
        <item x="8"/>
        <item x="56"/>
        <item x="71"/>
        <item x="3"/>
        <item x="96"/>
        <item x="42"/>
        <item x="98"/>
        <item x="108"/>
        <item x="49"/>
        <item x="46"/>
        <item x="83"/>
        <item x="103"/>
        <item x="44"/>
        <item x="55"/>
        <item x="81"/>
        <item x="48"/>
        <item x="75"/>
        <item x="53"/>
        <item x="23"/>
        <item x="78"/>
        <item x="2"/>
        <item x="63"/>
        <item x="32"/>
        <item x="35"/>
        <item x="27"/>
        <item x="25"/>
        <item x="9"/>
        <item x="107"/>
        <item x="14"/>
        <item x="31"/>
        <item x="77"/>
        <item x="37"/>
        <item x="69"/>
        <item x="39"/>
        <item x="33"/>
        <item x="24"/>
        <item x="102"/>
        <item x="61"/>
        <item x="16"/>
        <item x="26"/>
        <item x="95"/>
        <item x="41"/>
        <item x="30"/>
        <item x="86"/>
        <item x="29"/>
        <item x="52"/>
        <item x="12"/>
        <item x="82"/>
        <item x="84"/>
        <item x="72"/>
        <item x="50"/>
        <item x="51"/>
        <item x="68"/>
        <item x="59"/>
        <item x="93"/>
        <item x="19"/>
        <item x="88"/>
        <item x="34"/>
        <item x="89"/>
        <item x="43"/>
        <item x="104"/>
        <item x="54"/>
        <item x="105"/>
        <item x="11"/>
        <item x="87"/>
        <item x="92"/>
        <item x="0"/>
        <item x="85"/>
        <item x="6"/>
        <item x="64"/>
        <item x="15"/>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showAll="0"/>
    <pivotField numFmtId="164" showAll="0"/>
    <pivotField showAll="0">
      <items count="5">
        <item x="1"/>
        <item x="3"/>
        <item x="2"/>
        <item x="0"/>
        <item t="default"/>
      </items>
    </pivotField>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0"/>
  </rowFields>
  <rowItems count="10">
    <i>
      <x v="5"/>
    </i>
    <i>
      <x v="8"/>
    </i>
    <i>
      <x v="59"/>
    </i>
    <i>
      <x v="18"/>
    </i>
    <i>
      <x v="1"/>
    </i>
    <i>
      <x v="95"/>
    </i>
    <i>
      <x v="27"/>
    </i>
    <i>
      <x v="91"/>
    </i>
    <i>
      <x v="28"/>
    </i>
    <i>
      <x v="26"/>
    </i>
  </rowItems>
  <colItems count="1">
    <i/>
  </colItems>
  <dataFields count="1">
    <dataField name="Max of Review" fld="4" subtotal="max"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E04FB2-6B5C-440E-89E1-72D087B2D005}" name="ptChartPric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ice Category">
  <location ref="H11:I15" firstHeaderRow="1" firstDataRow="1" firstDataCol="1"/>
  <pivotFields count="17">
    <pivotField showAll="0"/>
    <pivotField numFmtId="164" showAll="0"/>
    <pivotField numFmtId="164" showAll="0"/>
    <pivotField numFmtId="9" showAll="0"/>
    <pivotField showAll="0"/>
    <pivotField dataField="1" showAll="0"/>
    <pivotField numFmtId="164" showAll="0"/>
    <pivotField showAll="0">
      <items count="5">
        <item x="1"/>
        <item x="3"/>
        <item x="2"/>
        <item x="0"/>
        <item t="default"/>
      </items>
    </pivotField>
    <pivotField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Avg Rating" fld="5" subtotal="average" baseField="9" baseItem="0" numFmtId="2"/>
  </dataFields>
  <formats count="1">
    <format dxfId="0">
      <pivotArea outline="0" collapsedLevelsAreSubtotals="1" fieldPosition="0">
        <references count="1">
          <reference field="4294967294" count="1" selected="0">
            <x v="0"/>
          </reference>
        </references>
      </pivotArea>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A02F8A-BEDD-44F8-A947-2F24C0C22459}" name="ptDiscount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Category">
  <location ref="A3:D7" firstHeaderRow="0" firstDataRow="1" firstDataCol="1"/>
  <pivotFields count="17">
    <pivotField dataField="1" showAll="0"/>
    <pivotField numFmtId="164" showAll="0"/>
    <pivotField numFmtId="164" showAll="0"/>
    <pivotField dataField="1" numFmtId="9" showAll="0"/>
    <pivotField dataField="1" showAll="0"/>
    <pivotField showAll="0"/>
    <pivotField numFmtId="164" showAll="0"/>
    <pivotField showAll="0">
      <items count="5">
        <item x="1"/>
        <item x="3"/>
        <item x="2"/>
        <item x="0"/>
        <item t="default"/>
      </items>
    </pivotField>
    <pivotField axis="axisRow" showAll="0">
      <items count="4">
        <item x="2"/>
        <item x="1"/>
        <item x="0"/>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3">
    <i>
      <x/>
    </i>
    <i i="1">
      <x v="1"/>
    </i>
    <i i="2">
      <x v="2"/>
    </i>
  </colItems>
  <dataFields count="3">
    <dataField name="Products" fld="0" subtotal="count" baseField="0" baseItem="0"/>
    <dataField name="Avg Discount" fld="3" subtotal="average" baseField="8" baseItem="0" numFmtId="9"/>
    <dataField name="Avg Review" fld="4" subtotal="average" baseField="8" baseItem="0"/>
  </dataFields>
  <formats count="2">
    <format dxfId="2">
      <pivotArea collapsedLevelsAreSubtotals="1" fieldPosition="0">
        <references count="2">
          <reference field="4294967294" count="1" selected="0">
            <x v="2"/>
          </reference>
          <reference field="8" count="0"/>
        </references>
      </pivotArea>
    </format>
    <format dxfId="1">
      <pivotArea field="8"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697739-D90A-4DCD-9A7C-D1684EE8D68E}" name="ptRatingEngag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Category">
  <location ref="A18:D23" firstHeaderRow="1" firstDataRow="2" firstDataCol="1"/>
  <pivotFields count="17">
    <pivotField dataField="1" showAll="0"/>
    <pivotField numFmtId="164" showAll="0"/>
    <pivotField numFmtId="164" showAll="0"/>
    <pivotField numFmtId="9" showAll="0"/>
    <pivotField showAll="0"/>
    <pivotField showAll="0"/>
    <pivotField numFmtId="164" showAll="0"/>
    <pivotField axis="axisRow" showAll="0" sortType="descending">
      <items count="5">
        <item x="0"/>
        <item x="2"/>
        <item x="3"/>
        <item x="1"/>
        <item t="default"/>
      </items>
    </pivotField>
    <pivotField showAll="0">
      <items count="4">
        <item x="0"/>
        <item x="1"/>
        <item x="2"/>
        <item t="default"/>
      </items>
    </pivotField>
    <pivotField showAll="0">
      <items count="4">
        <item x="1"/>
        <item x="0"/>
        <item x="2"/>
        <item t="default"/>
      </items>
    </pivotField>
    <pivotField axis="axisCol" showAll="0">
      <items count="4">
        <item x="1"/>
        <item x="0"/>
        <item h="1" x="2"/>
        <item t="default"/>
      </items>
    </pivotField>
    <pivotField showAll="0"/>
    <pivotField showAll="0"/>
    <pivotField showAll="0"/>
    <pivotField showAll="0"/>
    <pivotField showAll="0"/>
    <pivotField showAll="0"/>
  </pivotFields>
  <rowFields count="1">
    <field x="7"/>
  </rowFields>
  <rowItems count="4">
    <i>
      <x/>
    </i>
    <i>
      <x v="2"/>
    </i>
    <i>
      <x v="3"/>
    </i>
    <i t="grand">
      <x/>
    </i>
  </rowItems>
  <colFields count="1">
    <field x="10"/>
  </colFields>
  <colItems count="3">
    <i>
      <x/>
    </i>
    <i>
      <x v="1"/>
    </i>
    <i t="grand">
      <x/>
    </i>
  </colItems>
  <dataFields count="1">
    <dataField name="Count of Product" fld="0"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6015B2-4CBD-4A74-B83A-2DB3EF6F039F}" name="ptPrice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ce Category">
  <location ref="A11:F15" firstHeaderRow="0" firstDataRow="1" firstDataCol="1"/>
  <pivotFields count="17">
    <pivotField dataField="1" showAll="0"/>
    <pivotField dataField="1" numFmtId="164" showAll="0"/>
    <pivotField numFmtId="164" showAll="0"/>
    <pivotField dataField="1" numFmtId="9" showAll="0"/>
    <pivotField dataField="1" showAll="0"/>
    <pivotField dataField="1" showAll="0"/>
    <pivotField numFmtId="164" showAll="0"/>
    <pivotField showAll="0">
      <items count="5">
        <item x="1"/>
        <item x="3"/>
        <item x="2"/>
        <item x="0"/>
        <item t="default"/>
      </items>
    </pivotField>
    <pivotField showAll="0">
      <items count="4">
        <item x="0"/>
        <item x="1"/>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Fields count="1">
    <field x="-2"/>
  </colFields>
  <colItems count="5">
    <i>
      <x/>
    </i>
    <i i="1">
      <x v="1"/>
    </i>
    <i i="2">
      <x v="2"/>
    </i>
    <i i="3">
      <x v="3"/>
    </i>
    <i i="4">
      <x v="4"/>
    </i>
  </colItems>
  <dataFields count="5">
    <dataField name="Products" fld="0" subtotal="count" baseField="0" baseItem="0"/>
    <dataField name="Avg Current Price" fld="1" subtotal="average" baseField="9" baseItem="0" numFmtId="164"/>
    <dataField name="Avg Discount" fld="3" subtotal="average" baseField="8" baseItem="0" numFmtId="9"/>
    <dataField name="Avg Review" fld="4" subtotal="average" baseField="8" baseItem="0"/>
    <dataField name="Avg Rating" fld="5" subtotal="average" baseField="9" baseItem="0" numFmtId="2"/>
  </dataFields>
  <formats count="3">
    <format dxfId="6">
      <pivotArea field="8" grandRow="1" outline="0" collapsedLevelsAreSubtotals="1">
        <references count="1">
          <reference field="4294967294" count="1" selected="0">
            <x v="3"/>
          </reference>
        </references>
      </pivotArea>
    </format>
    <format dxfId="5">
      <pivotArea collapsedLevelsAreSubtotals="1" fieldPosition="0">
        <references count="2">
          <reference field="4294967294" count="1" selected="0">
            <x v="3"/>
          </reference>
          <reference field="9" count="0"/>
        </references>
      </pivotArea>
    </format>
    <format dxfId="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921614-02B9-470A-A539-D5A713F310F9}" name="ptHigh Rating + High Engag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igh Rating + High Engagement">
  <location ref="A26:B29" firstHeaderRow="1" firstDataRow="1" firstDataCol="1"/>
  <pivotFields count="17">
    <pivotField dataField="1" showAll="0"/>
    <pivotField numFmtId="164" showAll="0"/>
    <pivotField numFmtId="164" showAll="0"/>
    <pivotField numFmtId="9" showAll="0"/>
    <pivotField showAll="0"/>
    <pivotField showAll="0"/>
    <pivotField numFmtId="164"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12"/>
  </rowFields>
  <rowItems count="3">
    <i>
      <x/>
    </i>
    <i>
      <x v="1"/>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83A3A2-B8B1-4019-B6A8-F6E4F89723B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ting Category">
  <location ref="F18:G23" firstHeaderRow="1" firstDataRow="1" firstDataCol="1"/>
  <pivotFields count="17">
    <pivotField dataField="1" showAll="0"/>
    <pivotField numFmtId="164" showAll="0"/>
    <pivotField numFmtId="164" showAll="0"/>
    <pivotField numFmtId="9" showAll="0"/>
    <pivotField showAll="0"/>
    <pivotField showAll="0"/>
    <pivotField numFmtId="164" showAll="0"/>
    <pivotField axis="axisRow" showAll="0" sortType="descending">
      <items count="5">
        <item x="0"/>
        <item x="2"/>
        <item x="3"/>
        <item x="1"/>
        <item t="default"/>
      </items>
    </pivotField>
    <pivotField showAll="0">
      <items count="4">
        <item x="0"/>
        <item x="1"/>
        <item x="2"/>
        <item t="default"/>
      </items>
    </pivotField>
    <pivotField showAll="0">
      <items count="4">
        <item x="1"/>
        <item x="0"/>
        <item x="2"/>
        <item t="default"/>
      </items>
    </pivotField>
    <pivotField showAll="0">
      <items count="4">
        <item x="1"/>
        <item x="0"/>
        <item h="1" x="2"/>
        <item t="default"/>
      </items>
    </pivotField>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Products" fld="0" subtotal="count" baseField="0" baseItem="0"/>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2F5704-68F7-4A11-80FC-077A017D589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iscount Category">
  <location ref="I3:J7" firstHeaderRow="1" firstDataRow="1" firstDataCol="1"/>
  <pivotFields count="17">
    <pivotField dataField="1" showAll="0"/>
    <pivotField numFmtId="164" showAll="0"/>
    <pivotField numFmtId="164" showAll="0"/>
    <pivotField numFmtId="9" showAll="0"/>
    <pivotField showAll="0"/>
    <pivotField showAll="0"/>
    <pivotField numFmtId="164" showAll="0"/>
    <pivotField showAll="0">
      <items count="5">
        <item x="1"/>
        <item x="3"/>
        <item x="2"/>
        <item x="0"/>
        <item t="default"/>
      </items>
    </pivotField>
    <pivotField axis="axisRow" showAll="0">
      <items count="4">
        <item x="2"/>
        <item x="1"/>
        <item x="0"/>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Products" fld="0" subtotal="count" baseField="8"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55B14D-8F28-479E-8C30-03F5C084AB3E}" name="ptChartDiscountReview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iscount Category">
  <location ref="F3:G7" firstHeaderRow="1" firstDataRow="1" firstDataCol="1"/>
  <pivotFields count="17">
    <pivotField showAll="0"/>
    <pivotField numFmtId="164" showAll="0"/>
    <pivotField numFmtId="164" showAll="0"/>
    <pivotField numFmtId="9" showAll="0"/>
    <pivotField dataField="1" showAll="0"/>
    <pivotField showAll="0"/>
    <pivotField numFmtId="164" showAll="0"/>
    <pivotField showAll="0">
      <items count="5">
        <item x="1"/>
        <item x="3"/>
        <item x="2"/>
        <item x="0"/>
        <item t="default"/>
      </items>
    </pivotField>
    <pivotField axis="axisRow" showAll="0">
      <items count="4">
        <item x="1"/>
        <item x="2"/>
        <item x="0"/>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g Review" fld="4" subtotal="average" baseField="8" baseItem="0"/>
  </dataFields>
  <formats count="2">
    <format dxfId="9">
      <pivotArea collapsedLevelsAreSubtotals="1" fieldPosition="0">
        <references count="2">
          <reference field="4294967294" count="1" selected="0">
            <x v="0"/>
          </reference>
          <reference field="8" count="0"/>
        </references>
      </pivotArea>
    </format>
    <format dxfId="8">
      <pivotArea field="8" grandRow="1" outline="0" collapsedLevelsAreSubtotals="1" axis="axisRow" fieldPosition="0">
        <references count="1">
          <reference field="4294967294" count="1" selected="0">
            <x v="0"/>
          </reference>
        </references>
      </pivotArea>
    </format>
  </formats>
  <chartFormats count="3">
    <chartFormat chart="0" format="5"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184D9D4-BF0C-4DF7-AE9C-D821E04674A1}"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F49DF1BF-BC7B-4AD2-B7A4-8870B54756DD}" autoFormatId="16" applyNumberFormats="0" applyBorderFormats="0" applyFontFormats="0" applyPatternFormats="0" applyAlignmentFormats="0" applyWidthHeightFormats="0">
  <queryTableRefresh nextId="25">
    <queryTableFields count="17">
      <queryTableField id="1" name="Product" tableColumnId="1"/>
      <queryTableField id="2" name="Current price" tableColumnId="2"/>
      <queryTableField id="3" name="old price" tableColumnId="3"/>
      <queryTableField id="4" name="Discount" tableColumnId="4"/>
      <queryTableField id="5" name="Review" tableColumnId="5"/>
      <queryTableField id="9" name="Rating" tableColumnId="9"/>
      <queryTableField id="14" dataBound="0" tableColumnId="12"/>
      <queryTableField id="16" dataBound="0" tableColumnId="15"/>
      <queryTableField id="17" dataBound="0" tableColumnId="16"/>
      <queryTableField id="18" dataBound="0" tableColumnId="17"/>
      <queryTableField id="19" dataBound="0" tableColumnId="18"/>
      <queryTableField id="20" dataBound="0" tableColumnId="19"/>
      <queryTableField id="21" dataBound="0" tableColumnId="20"/>
      <queryTableField id="22" dataBound="0" tableColumnId="21"/>
      <queryTableField id="23" dataBound="0" tableColumnId="22"/>
      <queryTableField id="24" dataBound="0" tableColumnId="6"/>
      <queryTableField id="11" name="Data Statu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52C40A26-BC94-4F42-87E3-FF693CF9E01D}" sourceName="Discount Category">
  <pivotTables>
    <pivotTable tabId="7" name="ptChartDiscountReviews"/>
    <pivotTable tabId="7" name="ptChartPriceRating"/>
    <pivotTable tabId="7" name="ptDiscountPerformance"/>
    <pivotTable tabId="7" name="ptPricePerformance"/>
    <pivotTable tabId="7" name="ptRatingEngagement"/>
    <pivotTable tabId="7" name="ptTop10Reviews."/>
    <pivotTable tabId="7" name="ptBottom10Reviews."/>
    <pivotTable tabId="6" name="PivotTable6"/>
    <pivotTable tabId="6" name="PivotTable7"/>
    <pivotTable tabId="6" name="PivotTable11"/>
    <pivotTable tabId="6" name="PivotTable13"/>
    <pivotTable tabId="6" name="PivotTable14"/>
    <pivotTable tabId="7" name="PivotTable16"/>
    <pivotTable tabId="7" name="PivotTable17"/>
  </pivotTables>
  <data>
    <tabular pivotCacheId="169774633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093A0043-404A-446F-A122-F6EFB2068130}" sourceName="Price Category">
  <pivotTables>
    <pivotTable tabId="7" name="ptChartDiscountReviews"/>
    <pivotTable tabId="7" name="ptChartPriceRating"/>
    <pivotTable tabId="7" name="ptTop10Reviews."/>
    <pivotTable tabId="7" name="ptDiscountPerformance"/>
    <pivotTable tabId="7" name="ptPricePerformance"/>
    <pivotTable tabId="7" name="ptRatingEngagement"/>
    <pivotTable tabId="7" name="ptBottom10Reviews."/>
    <pivotTable tabId="6" name="PivotTable6"/>
    <pivotTable tabId="6" name="PivotTable7"/>
    <pivotTable tabId="6" name="PivotTable11"/>
    <pivotTable tabId="6" name="PivotTable13"/>
    <pivotTable tabId="6" name="PivotTable14"/>
    <pivotTable tabId="7" name="PivotTable16"/>
    <pivotTable tabId="7" name="PivotTable17"/>
  </pivotTables>
  <data>
    <tabular pivotCacheId="169774633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F39BB39-09E8-4A07-9839-71215D86EA89}" sourceName="Rating Category">
  <pivotTables>
    <pivotTable tabId="7" name="ptChartDiscountReviews"/>
    <pivotTable tabId="7" name="ptChartPriceRating"/>
    <pivotTable tabId="7" name="ptDiscountPerformance"/>
    <pivotTable tabId="7" name="ptPricePerformance"/>
    <pivotTable tabId="7" name="ptRatingEngagement"/>
    <pivotTable tabId="7" name="ptTop10Reviews."/>
    <pivotTable tabId="7" name="ptBottom10Reviews."/>
    <pivotTable tabId="6" name="PivotTable6"/>
    <pivotTable tabId="6" name="PivotTable7"/>
    <pivotTable tabId="6" name="PivotTable11"/>
    <pivotTable tabId="6" name="PivotTable13"/>
    <pivotTable tabId="6" name="PivotTable14"/>
    <pivotTable tabId="7" name="PivotTable16"/>
    <pivotTable tabId="7" name="PivotTable17"/>
  </pivotTables>
  <data>
    <tabular pivotCacheId="1697746334">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0FEEF94D-9F6D-46F6-93F5-035E644D6714}" cache="Slicer_Discount_Category" caption="Discount Category" columnCount="3" style="SlicerStyleDark1" rowHeight="251883"/>
  <slicer name="Price Category" xr10:uid="{C2940638-A0FF-450A-98C5-40ACC45CA220}" cache="Slicer_Price_Category" caption="Price Category" columnCount="3" style="SlicerStyleDark1" rowHeight="251883"/>
  <slicer name="Rating Category" xr10:uid="{A660F68B-5283-4D57-B3D6-316516BE255F}" cache="Slicer_Rating_Category" caption="Rating Category" columnCount="4"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AA74F-3359-4372-947C-147BA87E51D7}" name="Raw_Data" displayName="Raw_Data" ref="A1:F116" tableType="queryTable" totalsRowShown="0">
  <tableColumns count="6">
    <tableColumn id="1" xr3:uid="{3F3EAD51-5BB5-4849-B83C-C43EDEB4A18F}" uniqueName="1" name="Product" queryTableFieldId="1" dataDxfId="29"/>
    <tableColumn id="2" xr3:uid="{C1BA0245-33C1-4E47-B25E-773FAC5B2EE5}" uniqueName="2" name="Current price" queryTableFieldId="2" dataDxfId="28"/>
    <tableColumn id="3" xr3:uid="{E3C5C3EB-FF1C-4C4E-8A9E-08D0D55F544B}" uniqueName="3" name="old price" queryTableFieldId="3" dataDxfId="27"/>
    <tableColumn id="4" xr3:uid="{94E9F8D7-6183-4464-B5BE-861E47FD5E9A}" uniqueName="4" name="Discount" queryTableFieldId="4"/>
    <tableColumn id="5" xr3:uid="{7C58FB74-1E42-4ADD-BFA8-FBCCA9856BA2}" uniqueName="5" name="Review" queryTableFieldId="5"/>
    <tableColumn id="6" xr3:uid="{75799932-162E-476D-9176-7976044E80E3}" uniqueName="6" name="Ratingd" queryTableFieldId="6" dataDxfId="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53D613-270D-476C-A119-100D621A4D24}" name="tblProducts" displayName="tblProducts" ref="A1:Q113" tableType="queryTable" totalsRowShown="0">
  <sortState xmlns:xlrd2="http://schemas.microsoft.com/office/spreadsheetml/2017/richdata2" ref="A2:Q112">
    <sortCondition ref="F1:F113"/>
  </sortState>
  <tableColumns count="17">
    <tableColumn id="1" xr3:uid="{D5A1E9A5-BABE-47AD-8731-FADEEE3EBCF4}" uniqueName="1" name="Product" queryTableFieldId="1" dataDxfId="25"/>
    <tableColumn id="2" xr3:uid="{BB44DD82-5DD2-42ED-B983-766EBFE73D2B}" uniqueName="2" name="Current Price" queryTableFieldId="2" dataDxfId="24"/>
    <tableColumn id="3" xr3:uid="{0F61D7AF-602A-4074-8C5F-CEA83C7FCA5C}" uniqueName="3" name="Old Price" queryTableFieldId="3" dataDxfId="23"/>
    <tableColumn id="4" xr3:uid="{B56BDF8C-6425-43F0-B0D6-C5AF211C961E}" uniqueName="4" name="Discount" queryTableFieldId="4" dataDxfId="22" dataCellStyle="Percent"/>
    <tableColumn id="5" xr3:uid="{C705F6D6-0841-454B-8BB7-49F7F5B9118F}" uniqueName="5" name="Review" queryTableFieldId="5" dataDxfId="21"/>
    <tableColumn id="9" xr3:uid="{16AEECE8-42C2-426B-8031-884F26333ACD}" uniqueName="9" name="Rating" queryTableFieldId="9" dataDxfId="20"/>
    <tableColumn id="12" xr3:uid="{6B8EA156-9E3B-4850-ADE5-AEF7C6B1656E}" uniqueName="12" name="Discount Amount" queryTableFieldId="14" dataDxfId="19">
      <calculatedColumnFormula>tblProducts[[#This Row],[Old Price]]-tblProducts[[#This Row],[Current Price]]</calculatedColumnFormula>
    </tableColumn>
    <tableColumn id="15" xr3:uid="{C400EFB4-7137-4EC7-B603-AE189396179D}" uniqueName="15" name="Rating Category" queryTableFieldId="16" dataDxfId="18">
      <calculatedColumnFormula>IF(tblProducts[[#This Row],[Rating]]="","Missing",IF(tblProducts[[#This Row],[Rating]]&lt;3,"Poor",IF(tblProducts[[#This Row],[Rating]]&lt;=4.5,"Average","Excellent")))</calculatedColumnFormula>
    </tableColumn>
    <tableColumn id="16" xr3:uid="{C52534D5-703E-4150-94DB-3B52C5E6CCA9}" uniqueName="16" name="Discount Category" queryTableFieldId="17" dataDxfId="17">
      <calculatedColumnFormula>IF(tblProducts[[#This Row],[Discount]]="","Missing",IF(tblProducts[[#This Row],[Discount]]&lt;=20%,"Low Discount",IF(tblProducts[[#This Row],[Discount]]&lt;=40%,"Medium Discount","High Discount")))</calculatedColumnFormula>
    </tableColumn>
    <tableColumn id="17" xr3:uid="{9A6654D9-ED6F-4527-8425-ECA9BE31CDBC}" uniqueName="17" name="Price Category" queryTableFieldId="18" dataDxfId="16">
      <calculatedColumnFormula>IF(tblProducts[[#This Row],[Current Price]]&lt;=Price_Q1,"Low Price",IF(tblProducts[[#This Row],[Current Price]]&lt;=Price_Q3,"Medium Price","High Price"))</calculatedColumnFormula>
    </tableColumn>
    <tableColumn id="18" xr3:uid="{E70B41E2-18B8-442D-96A2-37CE5FF5AFF0}" uniqueName="18" name="Engagement Flag" queryTableFieldId="19" dataDxfId="15">
      <calculatedColumnFormula>IF(tblProducts[[#This Row],[Review]]="","Missing",IF(tblProducts[[#This Row],[Review]]&gt;=Review_P75,"High Engagement","Low Engagement"))</calculatedColumnFormula>
    </tableColumn>
    <tableColumn id="19" xr3:uid="{2784C5D5-BBAB-410F-96C8-1F05A4906707}" uniqueName="19" name="Performance Flag" queryTableFieldId="20" dataDxfId="14">
      <calculatedColumnFormula>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calculatedColumnFormula>
    </tableColumn>
    <tableColumn id="20" xr3:uid="{7821F1CD-0393-451F-98B5-CF4812F0AD91}" uniqueName="20" name="High Rating + High Engagement" queryTableFieldId="21" dataDxfId="13">
      <calculatedColumnFormula>IF(AND(tblProducts[[#This Row],[Rating Category]]="Excellent",tblProducts[[#This Row],[Engagement Flag]]="High Engagement"),"Yes","No")</calculatedColumnFormula>
    </tableColumn>
    <tableColumn id="21" xr3:uid="{DB4785E5-4037-4210-B752-3A65C1CD5EA2}" uniqueName="21" name="High Discount + Low Rating" queryTableFieldId="22" dataDxfId="12">
      <calculatedColumnFormula>IF(AND(tblProducts[[#This Row],[Discount Category]]="High Discount",tblProducts[[#This Row],[Rating Category]]="Poor"),"Yes","No")</calculatedColumnFormula>
    </tableColumn>
    <tableColumn id="22" xr3:uid="{768FD5CC-4940-483C-A6FE-9520F00F374A}" uniqueName="22" name="High Discount + High Rating" queryTableFieldId="23" dataDxfId="11">
      <calculatedColumnFormula>IF(AND(tblProducts[[#This Row],[Discount Category]]="High Discount",tblProducts[[#This Row],[Rating Category]]="Excellent"),"Yes","No")</calculatedColumnFormula>
    </tableColumn>
    <tableColumn id="6" xr3:uid="{8BB10559-CF9D-47C0-B754-16BAEE30D3A3}" uniqueName="6" name="Low Rating + Low Engagement" queryTableFieldId="24" dataDxfId="10">
      <calculatedColumnFormula>IF(AND(tblProducts[[#This Row],[Rating Category]]="Poor",tblProducts[[#This Row],[Engagement Flag]]="Low Engagement"),"Yes","No")</calculatedColumnFormula>
    </tableColumn>
    <tableColumn id="11" xr3:uid="{E4E483A5-9DAE-4C43-BFAC-2158F2F5C7AE}" uniqueName="11" name="Data Statu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rinterSettings" Target="../printerSettings/printerSettings2.bin"/><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6EC1-9741-48E0-A263-CD15369D59A0}">
  <sheetPr>
    <tabColor theme="0" tint="-4.9989318521683403E-2"/>
  </sheetPr>
  <dimension ref="A1:F116"/>
  <sheetViews>
    <sheetView workbookViewId="0">
      <selection activeCell="A5" sqref="A5"/>
    </sheetView>
  </sheetViews>
  <sheetFormatPr defaultRowHeight="14.5" x14ac:dyDescent="0.35"/>
  <cols>
    <col min="1" max="1" width="80.7265625" bestFit="1" customWidth="1"/>
    <col min="2" max="3" width="18.1796875" bestFit="1" customWidth="1"/>
    <col min="4" max="4" width="10.6328125" bestFit="1" customWidth="1"/>
    <col min="5" max="5" width="9.08984375" bestFit="1" customWidth="1"/>
    <col min="6" max="6" width="9.6328125" bestFit="1" customWidth="1"/>
  </cols>
  <sheetData>
    <row r="1" spans="1:6" x14ac:dyDescent="0.35">
      <c r="A1" t="s">
        <v>0</v>
      </c>
      <c r="B1" t="s">
        <v>1</v>
      </c>
      <c r="C1" t="s">
        <v>2</v>
      </c>
      <c r="D1" t="s">
        <v>3</v>
      </c>
      <c r="E1" t="s">
        <v>4</v>
      </c>
      <c r="F1" t="s">
        <v>5</v>
      </c>
    </row>
    <row r="2" spans="1:6" x14ac:dyDescent="0.35">
      <c r="A2" t="s">
        <v>6</v>
      </c>
      <c r="B2" t="s">
        <v>7</v>
      </c>
      <c r="C2" t="s">
        <v>8</v>
      </c>
      <c r="D2">
        <v>0.38</v>
      </c>
      <c r="E2">
        <v>-2</v>
      </c>
      <c r="F2" t="s">
        <v>9</v>
      </c>
    </row>
    <row r="3" spans="1:6" x14ac:dyDescent="0.35">
      <c r="A3" t="s">
        <v>10</v>
      </c>
      <c r="B3" t="s">
        <v>11</v>
      </c>
      <c r="C3" t="s">
        <v>12</v>
      </c>
      <c r="D3">
        <v>0.47</v>
      </c>
      <c r="E3">
        <v>-14</v>
      </c>
      <c r="F3" t="s">
        <v>13</v>
      </c>
    </row>
    <row r="4" spans="1:6" x14ac:dyDescent="0.35">
      <c r="A4" t="s">
        <v>14</v>
      </c>
      <c r="B4" t="s">
        <v>15</v>
      </c>
      <c r="C4" t="s">
        <v>16</v>
      </c>
      <c r="D4">
        <v>0.25</v>
      </c>
      <c r="E4">
        <v>-24</v>
      </c>
      <c r="F4" t="s">
        <v>17</v>
      </c>
    </row>
    <row r="5" spans="1:6" x14ac:dyDescent="0.35">
      <c r="A5" t="s">
        <v>18</v>
      </c>
      <c r="B5" t="s">
        <v>19</v>
      </c>
      <c r="C5" t="s">
        <v>20</v>
      </c>
      <c r="D5">
        <v>0.37</v>
      </c>
      <c r="E5">
        <v>-7</v>
      </c>
      <c r="F5" t="s">
        <v>21</v>
      </c>
    </row>
    <row r="6" spans="1:6" x14ac:dyDescent="0.35">
      <c r="A6" t="s">
        <v>22</v>
      </c>
      <c r="B6" t="s">
        <v>23</v>
      </c>
      <c r="C6" t="s">
        <v>24</v>
      </c>
      <c r="D6">
        <v>0.26</v>
      </c>
      <c r="E6">
        <v>-5</v>
      </c>
      <c r="F6" t="s">
        <v>25</v>
      </c>
    </row>
    <row r="7" spans="1:6" x14ac:dyDescent="0.35">
      <c r="A7" t="s">
        <v>26</v>
      </c>
      <c r="B7" t="s">
        <v>27</v>
      </c>
      <c r="C7" t="s">
        <v>28</v>
      </c>
      <c r="D7">
        <v>0.09</v>
      </c>
      <c r="E7">
        <v>-15</v>
      </c>
      <c r="F7" t="s">
        <v>29</v>
      </c>
    </row>
    <row r="8" spans="1:6" x14ac:dyDescent="0.35">
      <c r="A8" t="s">
        <v>30</v>
      </c>
      <c r="B8" t="s">
        <v>31</v>
      </c>
      <c r="C8" t="s">
        <v>32</v>
      </c>
      <c r="D8">
        <v>0.24</v>
      </c>
      <c r="E8">
        <v>-55</v>
      </c>
      <c r="F8" t="s">
        <v>17</v>
      </c>
    </row>
    <row r="9" spans="1:6" x14ac:dyDescent="0.35">
      <c r="A9" t="s">
        <v>33</v>
      </c>
      <c r="B9" t="s">
        <v>34</v>
      </c>
      <c r="C9" t="s">
        <v>19</v>
      </c>
      <c r="D9">
        <v>0.37</v>
      </c>
      <c r="E9">
        <v>-2</v>
      </c>
      <c r="F9" t="s">
        <v>29</v>
      </c>
    </row>
    <row r="10" spans="1:6" x14ac:dyDescent="0.35">
      <c r="A10" t="s">
        <v>35</v>
      </c>
      <c r="B10" t="s">
        <v>36</v>
      </c>
      <c r="C10" t="s">
        <v>37</v>
      </c>
      <c r="D10">
        <v>0.55000000000000004</v>
      </c>
      <c r="E10">
        <v>-5</v>
      </c>
      <c r="F10" t="s">
        <v>25</v>
      </c>
    </row>
    <row r="11" spans="1:6" x14ac:dyDescent="0.35">
      <c r="A11" t="s">
        <v>38</v>
      </c>
      <c r="B11" t="s">
        <v>39</v>
      </c>
      <c r="C11" t="s">
        <v>40</v>
      </c>
      <c r="D11">
        <v>0.45</v>
      </c>
      <c r="E11">
        <v>-5</v>
      </c>
      <c r="F11" t="s">
        <v>41</v>
      </c>
    </row>
    <row r="12" spans="1:6" x14ac:dyDescent="0.35">
      <c r="A12" t="s">
        <v>42</v>
      </c>
      <c r="B12" t="s">
        <v>43</v>
      </c>
      <c r="C12" t="s">
        <v>12</v>
      </c>
      <c r="D12">
        <v>0.2</v>
      </c>
      <c r="E12">
        <v>-12</v>
      </c>
      <c r="F12" t="s">
        <v>13</v>
      </c>
    </row>
    <row r="13" spans="1:6" x14ac:dyDescent="0.35">
      <c r="A13" t="s">
        <v>44</v>
      </c>
      <c r="B13" t="s">
        <v>45</v>
      </c>
      <c r="C13" t="s">
        <v>46</v>
      </c>
      <c r="D13">
        <v>0.34</v>
      </c>
      <c r="E13">
        <v>-39</v>
      </c>
      <c r="F13" t="s">
        <v>21</v>
      </c>
    </row>
    <row r="14" spans="1:6" x14ac:dyDescent="0.35">
      <c r="A14" t="s">
        <v>47</v>
      </c>
      <c r="B14" t="s">
        <v>48</v>
      </c>
      <c r="C14" t="s">
        <v>49</v>
      </c>
      <c r="D14">
        <v>0.47</v>
      </c>
      <c r="E14">
        <v>-12</v>
      </c>
      <c r="F14" t="s">
        <v>25</v>
      </c>
    </row>
    <row r="15" spans="1:6" x14ac:dyDescent="0.35">
      <c r="A15" t="s">
        <v>50</v>
      </c>
      <c r="B15" t="s">
        <v>51</v>
      </c>
      <c r="C15" t="s">
        <v>52</v>
      </c>
      <c r="D15">
        <v>0.42</v>
      </c>
      <c r="E15">
        <v>-6</v>
      </c>
      <c r="F15" t="s">
        <v>9</v>
      </c>
    </row>
    <row r="16" spans="1:6" x14ac:dyDescent="0.35">
      <c r="A16" t="s">
        <v>53</v>
      </c>
      <c r="B16" t="s">
        <v>54</v>
      </c>
      <c r="C16" t="s">
        <v>20</v>
      </c>
      <c r="D16">
        <v>0.33</v>
      </c>
      <c r="E16">
        <v>-9</v>
      </c>
      <c r="F16" t="s">
        <v>55</v>
      </c>
    </row>
    <row r="17" spans="1:6" x14ac:dyDescent="0.35">
      <c r="A17" t="s">
        <v>56</v>
      </c>
      <c r="B17" t="s">
        <v>57</v>
      </c>
      <c r="C17" t="s">
        <v>58</v>
      </c>
      <c r="D17">
        <v>0.51</v>
      </c>
      <c r="E17">
        <v>-2</v>
      </c>
      <c r="F17" t="s">
        <v>59</v>
      </c>
    </row>
    <row r="18" spans="1:6" x14ac:dyDescent="0.35">
      <c r="A18" t="s">
        <v>60</v>
      </c>
      <c r="B18" t="s">
        <v>61</v>
      </c>
      <c r="C18" t="s">
        <v>62</v>
      </c>
      <c r="D18">
        <v>0.46</v>
      </c>
      <c r="E18">
        <v>-2</v>
      </c>
      <c r="F18" t="s">
        <v>59</v>
      </c>
    </row>
    <row r="19" spans="1:6" x14ac:dyDescent="0.35">
      <c r="A19" t="s">
        <v>63</v>
      </c>
      <c r="B19" t="s">
        <v>64</v>
      </c>
      <c r="C19" t="s">
        <v>65</v>
      </c>
      <c r="D19">
        <v>0.49</v>
      </c>
      <c r="E19">
        <v>-3</v>
      </c>
      <c r="F19" t="s">
        <v>59</v>
      </c>
    </row>
    <row r="20" spans="1:6" x14ac:dyDescent="0.35">
      <c r="A20" t="s">
        <v>66</v>
      </c>
      <c r="B20" t="s">
        <v>27</v>
      </c>
      <c r="C20" t="s">
        <v>67</v>
      </c>
      <c r="D20">
        <v>0.19</v>
      </c>
      <c r="E20">
        <v>-5</v>
      </c>
      <c r="F20" t="s">
        <v>17</v>
      </c>
    </row>
    <row r="21" spans="1:6" x14ac:dyDescent="0.35">
      <c r="A21" t="s">
        <v>68</v>
      </c>
      <c r="B21" t="s">
        <v>69</v>
      </c>
      <c r="C21" t="s">
        <v>70</v>
      </c>
      <c r="D21">
        <v>0.49</v>
      </c>
      <c r="E21">
        <v>-44</v>
      </c>
      <c r="F21" t="s">
        <v>17</v>
      </c>
    </row>
    <row r="22" spans="1:6" x14ac:dyDescent="0.35">
      <c r="A22" t="s">
        <v>71</v>
      </c>
      <c r="B22" t="s">
        <v>72</v>
      </c>
      <c r="C22" t="s">
        <v>73</v>
      </c>
      <c r="D22">
        <v>0.53</v>
      </c>
      <c r="E22">
        <v>-13</v>
      </c>
      <c r="F22" t="s">
        <v>74</v>
      </c>
    </row>
    <row r="23" spans="1:6" x14ac:dyDescent="0.35">
      <c r="A23" t="s">
        <v>75</v>
      </c>
      <c r="B23" t="s">
        <v>76</v>
      </c>
      <c r="C23" t="s">
        <v>77</v>
      </c>
      <c r="D23">
        <v>0.42</v>
      </c>
      <c r="F23" t="s">
        <v>78</v>
      </c>
    </row>
    <row r="24" spans="1:6" x14ac:dyDescent="0.35">
      <c r="A24" t="s">
        <v>79</v>
      </c>
      <c r="B24" t="s">
        <v>80</v>
      </c>
      <c r="C24" t="s">
        <v>81</v>
      </c>
      <c r="D24">
        <v>0.35</v>
      </c>
      <c r="E24">
        <v>-6</v>
      </c>
      <c r="F24" t="s">
        <v>29</v>
      </c>
    </row>
    <row r="25" spans="1:6" x14ac:dyDescent="0.35">
      <c r="A25" t="s">
        <v>82</v>
      </c>
      <c r="B25" t="s">
        <v>83</v>
      </c>
      <c r="C25" t="s">
        <v>84</v>
      </c>
      <c r="D25">
        <v>0.23</v>
      </c>
      <c r="E25">
        <v>-14</v>
      </c>
      <c r="F25" t="s">
        <v>85</v>
      </c>
    </row>
    <row r="26" spans="1:6" x14ac:dyDescent="0.35">
      <c r="A26" t="s">
        <v>86</v>
      </c>
      <c r="B26" t="s">
        <v>87</v>
      </c>
      <c r="C26" t="s">
        <v>88</v>
      </c>
      <c r="D26">
        <v>0.54</v>
      </c>
      <c r="E26">
        <v>-7</v>
      </c>
      <c r="F26" t="s">
        <v>89</v>
      </c>
    </row>
    <row r="27" spans="1:6" x14ac:dyDescent="0.35">
      <c r="A27" t="s">
        <v>90</v>
      </c>
      <c r="B27" t="s">
        <v>91</v>
      </c>
      <c r="C27" t="s">
        <v>92</v>
      </c>
      <c r="D27">
        <v>0.35</v>
      </c>
      <c r="E27">
        <v>-49</v>
      </c>
      <c r="F27" t="s">
        <v>17</v>
      </c>
    </row>
    <row r="28" spans="1:6" x14ac:dyDescent="0.35">
      <c r="A28" t="s">
        <v>93</v>
      </c>
      <c r="B28" t="s">
        <v>94</v>
      </c>
      <c r="C28" t="s">
        <v>95</v>
      </c>
      <c r="D28">
        <v>0.18</v>
      </c>
      <c r="E28">
        <v>-12</v>
      </c>
      <c r="F28" t="s">
        <v>41</v>
      </c>
    </row>
    <row r="29" spans="1:6" x14ac:dyDescent="0.35">
      <c r="A29" t="s">
        <v>96</v>
      </c>
      <c r="B29" t="s">
        <v>81</v>
      </c>
      <c r="C29" t="s">
        <v>97</v>
      </c>
      <c r="D29">
        <v>0.32</v>
      </c>
      <c r="E29">
        <v>-13</v>
      </c>
      <c r="F29" t="s">
        <v>41</v>
      </c>
    </row>
    <row r="30" spans="1:6" x14ac:dyDescent="0.35">
      <c r="A30" t="s">
        <v>98</v>
      </c>
      <c r="B30" t="s">
        <v>99</v>
      </c>
      <c r="C30" t="s">
        <v>20</v>
      </c>
      <c r="D30">
        <v>0.3</v>
      </c>
      <c r="E30">
        <v>-20</v>
      </c>
      <c r="F30" t="s">
        <v>13</v>
      </c>
    </row>
    <row r="31" spans="1:6" x14ac:dyDescent="0.35">
      <c r="A31" t="s">
        <v>100</v>
      </c>
      <c r="B31" t="s">
        <v>101</v>
      </c>
      <c r="C31" t="s">
        <v>102</v>
      </c>
      <c r="D31">
        <v>0.46</v>
      </c>
      <c r="F31" t="s">
        <v>78</v>
      </c>
    </row>
    <row r="32" spans="1:6" x14ac:dyDescent="0.35">
      <c r="A32" t="s">
        <v>103</v>
      </c>
      <c r="B32" t="s">
        <v>104</v>
      </c>
      <c r="C32" t="s">
        <v>105</v>
      </c>
      <c r="D32">
        <v>0.52</v>
      </c>
      <c r="E32">
        <v>-9</v>
      </c>
      <c r="F32" t="s">
        <v>89</v>
      </c>
    </row>
    <row r="33" spans="1:6" x14ac:dyDescent="0.35">
      <c r="A33" t="s">
        <v>106</v>
      </c>
      <c r="B33" t="s">
        <v>107</v>
      </c>
      <c r="C33" t="s">
        <v>108</v>
      </c>
      <c r="D33">
        <v>0.34</v>
      </c>
      <c r="E33">
        <v>-12</v>
      </c>
      <c r="F33" t="s">
        <v>21</v>
      </c>
    </row>
    <row r="34" spans="1:6" x14ac:dyDescent="0.35">
      <c r="A34" t="s">
        <v>109</v>
      </c>
      <c r="B34" t="s">
        <v>110</v>
      </c>
      <c r="C34" t="s">
        <v>111</v>
      </c>
      <c r="D34">
        <v>0.48</v>
      </c>
      <c r="E34">
        <v>-9</v>
      </c>
      <c r="F34" t="s">
        <v>89</v>
      </c>
    </row>
    <row r="35" spans="1:6" x14ac:dyDescent="0.35">
      <c r="A35" t="s">
        <v>112</v>
      </c>
      <c r="B35" t="s">
        <v>113</v>
      </c>
      <c r="C35" t="s">
        <v>114</v>
      </c>
      <c r="D35">
        <v>0.27</v>
      </c>
      <c r="E35">
        <v>-20</v>
      </c>
      <c r="F35" t="s">
        <v>21</v>
      </c>
    </row>
    <row r="36" spans="1:6" x14ac:dyDescent="0.35">
      <c r="A36" t="s">
        <v>115</v>
      </c>
      <c r="B36" t="s">
        <v>116</v>
      </c>
      <c r="C36" t="s">
        <v>117</v>
      </c>
      <c r="D36">
        <v>0.27</v>
      </c>
      <c r="E36">
        <v>-32</v>
      </c>
      <c r="F36" t="s">
        <v>9</v>
      </c>
    </row>
    <row r="37" spans="1:6" x14ac:dyDescent="0.35">
      <c r="A37" t="s">
        <v>118</v>
      </c>
      <c r="B37" t="s">
        <v>119</v>
      </c>
      <c r="C37" t="s">
        <v>120</v>
      </c>
      <c r="D37">
        <v>0.4</v>
      </c>
      <c r="E37">
        <v>-1</v>
      </c>
      <c r="F37" t="s">
        <v>59</v>
      </c>
    </row>
    <row r="38" spans="1:6" x14ac:dyDescent="0.35">
      <c r="A38" t="s">
        <v>121</v>
      </c>
      <c r="B38" t="s">
        <v>122</v>
      </c>
      <c r="C38" t="s">
        <v>62</v>
      </c>
      <c r="D38">
        <v>0.53</v>
      </c>
      <c r="E38">
        <v>-2</v>
      </c>
      <c r="F38" t="s">
        <v>59</v>
      </c>
    </row>
    <row r="39" spans="1:6" x14ac:dyDescent="0.35">
      <c r="A39" t="s">
        <v>123</v>
      </c>
      <c r="B39" t="s">
        <v>124</v>
      </c>
      <c r="C39" t="s">
        <v>125</v>
      </c>
      <c r="D39">
        <v>0.41</v>
      </c>
      <c r="E39">
        <v>-36</v>
      </c>
      <c r="F39" t="s">
        <v>89</v>
      </c>
    </row>
    <row r="40" spans="1:6" x14ac:dyDescent="0.35">
      <c r="A40" t="s">
        <v>126</v>
      </c>
      <c r="B40" t="s">
        <v>127</v>
      </c>
      <c r="C40" t="s">
        <v>128</v>
      </c>
      <c r="D40">
        <v>0.38</v>
      </c>
      <c r="E40">
        <v>-2</v>
      </c>
      <c r="F40" t="s">
        <v>9</v>
      </c>
    </row>
    <row r="41" spans="1:6" x14ac:dyDescent="0.35">
      <c r="A41" t="s">
        <v>129</v>
      </c>
      <c r="B41" t="s">
        <v>130</v>
      </c>
      <c r="C41" t="s">
        <v>131</v>
      </c>
      <c r="D41">
        <v>0.38</v>
      </c>
      <c r="F41" t="s">
        <v>78</v>
      </c>
    </row>
    <row r="42" spans="1:6" x14ac:dyDescent="0.35">
      <c r="A42" t="s">
        <v>132</v>
      </c>
      <c r="B42" t="s">
        <v>133</v>
      </c>
      <c r="C42" t="s">
        <v>134</v>
      </c>
      <c r="D42">
        <v>0.49</v>
      </c>
      <c r="F42" t="s">
        <v>78</v>
      </c>
    </row>
    <row r="43" spans="1:6" x14ac:dyDescent="0.35">
      <c r="A43" t="s">
        <v>135</v>
      </c>
      <c r="B43" t="s">
        <v>136</v>
      </c>
      <c r="C43" t="s">
        <v>137</v>
      </c>
      <c r="D43">
        <v>0.5</v>
      </c>
      <c r="F43" t="s">
        <v>78</v>
      </c>
    </row>
    <row r="44" spans="1:6" x14ac:dyDescent="0.35">
      <c r="A44" t="s">
        <v>138</v>
      </c>
      <c r="B44" t="s">
        <v>139</v>
      </c>
      <c r="C44" t="s">
        <v>140</v>
      </c>
      <c r="D44">
        <v>0.42</v>
      </c>
      <c r="F44" t="s">
        <v>78</v>
      </c>
    </row>
    <row r="45" spans="1:6" x14ac:dyDescent="0.35">
      <c r="A45" t="s">
        <v>138</v>
      </c>
      <c r="B45" t="s">
        <v>139</v>
      </c>
      <c r="C45" t="s">
        <v>140</v>
      </c>
      <c r="D45">
        <v>0.42</v>
      </c>
      <c r="F45" t="s">
        <v>78</v>
      </c>
    </row>
    <row r="46" spans="1:6" x14ac:dyDescent="0.35">
      <c r="A46" t="s">
        <v>141</v>
      </c>
      <c r="B46" t="s">
        <v>142</v>
      </c>
      <c r="C46" t="s">
        <v>143</v>
      </c>
      <c r="D46">
        <v>0.02</v>
      </c>
      <c r="F46" t="s">
        <v>78</v>
      </c>
    </row>
    <row r="47" spans="1:6" x14ac:dyDescent="0.35">
      <c r="A47" t="s">
        <v>144</v>
      </c>
      <c r="B47" t="s">
        <v>12</v>
      </c>
      <c r="C47" t="s">
        <v>145</v>
      </c>
      <c r="D47">
        <v>0.5</v>
      </c>
      <c r="F47" t="s">
        <v>78</v>
      </c>
    </row>
    <row r="48" spans="1:6" x14ac:dyDescent="0.35">
      <c r="A48" t="s">
        <v>146</v>
      </c>
      <c r="B48" t="s">
        <v>147</v>
      </c>
      <c r="C48" t="s">
        <v>148</v>
      </c>
      <c r="D48">
        <v>0.33</v>
      </c>
      <c r="F48" t="s">
        <v>78</v>
      </c>
    </row>
    <row r="49" spans="1:6" x14ac:dyDescent="0.35">
      <c r="A49" t="s">
        <v>149</v>
      </c>
      <c r="B49" t="s">
        <v>150</v>
      </c>
      <c r="C49" t="s">
        <v>151</v>
      </c>
      <c r="D49">
        <v>0.49</v>
      </c>
      <c r="F49" t="s">
        <v>78</v>
      </c>
    </row>
    <row r="50" spans="1:6" x14ac:dyDescent="0.35">
      <c r="A50" t="s">
        <v>152</v>
      </c>
      <c r="B50" t="s">
        <v>153</v>
      </c>
      <c r="C50" t="s">
        <v>154</v>
      </c>
      <c r="D50">
        <v>0.38</v>
      </c>
      <c r="F50" t="s">
        <v>78</v>
      </c>
    </row>
    <row r="51" spans="1:6" x14ac:dyDescent="0.35">
      <c r="A51" t="s">
        <v>155</v>
      </c>
      <c r="B51" t="s">
        <v>156</v>
      </c>
      <c r="C51" t="s">
        <v>157</v>
      </c>
      <c r="D51">
        <v>0.61</v>
      </c>
      <c r="F51" t="s">
        <v>78</v>
      </c>
    </row>
    <row r="52" spans="1:6" x14ac:dyDescent="0.35">
      <c r="A52" t="s">
        <v>158</v>
      </c>
      <c r="B52" t="s">
        <v>159</v>
      </c>
      <c r="C52" t="s">
        <v>160</v>
      </c>
      <c r="D52">
        <v>0.5</v>
      </c>
      <c r="F52" t="s">
        <v>78</v>
      </c>
    </row>
    <row r="53" spans="1:6" x14ac:dyDescent="0.35">
      <c r="A53" t="s">
        <v>161</v>
      </c>
      <c r="B53" t="s">
        <v>162</v>
      </c>
      <c r="C53" t="s">
        <v>163</v>
      </c>
      <c r="D53">
        <v>0.02</v>
      </c>
      <c r="F53" t="s">
        <v>78</v>
      </c>
    </row>
    <row r="54" spans="1:6" x14ac:dyDescent="0.35">
      <c r="A54" t="s">
        <v>164</v>
      </c>
      <c r="B54" t="s">
        <v>159</v>
      </c>
      <c r="C54" t="s">
        <v>165</v>
      </c>
      <c r="D54">
        <v>0.22</v>
      </c>
      <c r="F54" t="s">
        <v>78</v>
      </c>
    </row>
    <row r="55" spans="1:6" x14ac:dyDescent="0.35">
      <c r="A55" t="s">
        <v>166</v>
      </c>
      <c r="B55" t="s">
        <v>167</v>
      </c>
      <c r="C55" t="s">
        <v>168</v>
      </c>
      <c r="D55">
        <v>0.03</v>
      </c>
      <c r="F55" t="s">
        <v>78</v>
      </c>
    </row>
    <row r="56" spans="1:6" x14ac:dyDescent="0.35">
      <c r="A56" t="s">
        <v>169</v>
      </c>
      <c r="B56" t="s">
        <v>43</v>
      </c>
      <c r="C56" t="s">
        <v>170</v>
      </c>
      <c r="D56">
        <v>0.41</v>
      </c>
      <c r="F56" t="s">
        <v>78</v>
      </c>
    </row>
    <row r="57" spans="1:6" x14ac:dyDescent="0.35">
      <c r="A57" t="s">
        <v>171</v>
      </c>
      <c r="B57" t="s">
        <v>172</v>
      </c>
      <c r="C57" t="s">
        <v>173</v>
      </c>
      <c r="D57">
        <v>0.45</v>
      </c>
      <c r="F57" t="s">
        <v>78</v>
      </c>
    </row>
    <row r="58" spans="1:6" x14ac:dyDescent="0.35">
      <c r="A58" t="s">
        <v>174</v>
      </c>
      <c r="B58" t="s">
        <v>175</v>
      </c>
      <c r="C58" t="s">
        <v>170</v>
      </c>
      <c r="D58">
        <v>0.48</v>
      </c>
      <c r="F58" t="s">
        <v>78</v>
      </c>
    </row>
    <row r="59" spans="1:6" x14ac:dyDescent="0.35">
      <c r="A59" t="s">
        <v>176</v>
      </c>
      <c r="B59" t="s">
        <v>43</v>
      </c>
      <c r="C59" t="s">
        <v>177</v>
      </c>
      <c r="D59">
        <v>0.49</v>
      </c>
      <c r="F59" t="s">
        <v>78</v>
      </c>
    </row>
    <row r="60" spans="1:6" x14ac:dyDescent="0.35">
      <c r="A60" t="s">
        <v>178</v>
      </c>
      <c r="B60" t="s">
        <v>179</v>
      </c>
      <c r="C60" t="s">
        <v>180</v>
      </c>
      <c r="D60">
        <v>0.27</v>
      </c>
      <c r="F60" t="s">
        <v>78</v>
      </c>
    </row>
    <row r="61" spans="1:6" x14ac:dyDescent="0.35">
      <c r="A61" t="s">
        <v>171</v>
      </c>
      <c r="B61" t="s">
        <v>181</v>
      </c>
      <c r="C61" t="s">
        <v>182</v>
      </c>
      <c r="D61">
        <v>0.55000000000000004</v>
      </c>
      <c r="F61" t="s">
        <v>78</v>
      </c>
    </row>
    <row r="62" spans="1:6" x14ac:dyDescent="0.35">
      <c r="A62" t="s">
        <v>183</v>
      </c>
      <c r="B62" t="s">
        <v>184</v>
      </c>
      <c r="C62" t="s">
        <v>185</v>
      </c>
      <c r="D62">
        <v>0.13</v>
      </c>
      <c r="E62">
        <v>-6</v>
      </c>
      <c r="F62" t="s">
        <v>186</v>
      </c>
    </row>
    <row r="63" spans="1:6" x14ac:dyDescent="0.35">
      <c r="A63" t="s">
        <v>187</v>
      </c>
      <c r="B63" t="s">
        <v>188</v>
      </c>
      <c r="C63" t="s">
        <v>189</v>
      </c>
      <c r="D63">
        <v>0.54</v>
      </c>
      <c r="E63">
        <v>-10</v>
      </c>
      <c r="F63" t="s">
        <v>190</v>
      </c>
    </row>
    <row r="64" spans="1:6" x14ac:dyDescent="0.35">
      <c r="A64" t="s">
        <v>191</v>
      </c>
      <c r="B64" t="s">
        <v>192</v>
      </c>
      <c r="C64" t="s">
        <v>193</v>
      </c>
      <c r="D64">
        <v>0.55000000000000004</v>
      </c>
      <c r="E64">
        <v>-13</v>
      </c>
      <c r="F64" t="s">
        <v>194</v>
      </c>
    </row>
    <row r="65" spans="1:6" x14ac:dyDescent="0.35">
      <c r="A65" t="s">
        <v>195</v>
      </c>
      <c r="B65" t="s">
        <v>196</v>
      </c>
      <c r="C65" t="s">
        <v>197</v>
      </c>
      <c r="D65">
        <v>0.49</v>
      </c>
      <c r="E65">
        <v>-69</v>
      </c>
      <c r="F65" t="s">
        <v>198</v>
      </c>
    </row>
    <row r="66" spans="1:6" x14ac:dyDescent="0.35">
      <c r="A66" t="s">
        <v>199</v>
      </c>
      <c r="B66" t="s">
        <v>200</v>
      </c>
      <c r="C66" t="s">
        <v>201</v>
      </c>
      <c r="D66">
        <v>0.52</v>
      </c>
      <c r="E66">
        <v>-15</v>
      </c>
      <c r="F66" t="s">
        <v>202</v>
      </c>
    </row>
    <row r="67" spans="1:6" x14ac:dyDescent="0.35">
      <c r="A67" t="s">
        <v>203</v>
      </c>
      <c r="B67" t="s">
        <v>204</v>
      </c>
      <c r="C67" t="s">
        <v>205</v>
      </c>
      <c r="D67">
        <v>0.22</v>
      </c>
      <c r="E67">
        <v>-16</v>
      </c>
      <c r="F67" t="s">
        <v>206</v>
      </c>
    </row>
    <row r="68" spans="1:6" x14ac:dyDescent="0.35">
      <c r="A68" t="s">
        <v>207</v>
      </c>
      <c r="B68" t="s">
        <v>45</v>
      </c>
      <c r="C68" t="s">
        <v>208</v>
      </c>
      <c r="D68">
        <v>0.45</v>
      </c>
      <c r="E68">
        <v>-6</v>
      </c>
      <c r="F68" t="s">
        <v>209</v>
      </c>
    </row>
    <row r="69" spans="1:6" x14ac:dyDescent="0.35">
      <c r="A69" t="s">
        <v>210</v>
      </c>
      <c r="B69" t="s">
        <v>211</v>
      </c>
      <c r="C69" t="s">
        <v>145</v>
      </c>
      <c r="D69">
        <v>0.5</v>
      </c>
      <c r="E69">
        <v>-7</v>
      </c>
      <c r="F69" t="s">
        <v>212</v>
      </c>
    </row>
    <row r="70" spans="1:6" x14ac:dyDescent="0.35">
      <c r="A70" t="s">
        <v>213</v>
      </c>
      <c r="B70" t="s">
        <v>214</v>
      </c>
      <c r="C70" t="s">
        <v>215</v>
      </c>
      <c r="D70">
        <v>0.39</v>
      </c>
      <c r="E70">
        <v>-5</v>
      </c>
      <c r="F70" t="s">
        <v>190</v>
      </c>
    </row>
    <row r="71" spans="1:6" x14ac:dyDescent="0.35">
      <c r="A71" t="s">
        <v>216</v>
      </c>
      <c r="B71" t="s">
        <v>105</v>
      </c>
      <c r="C71" t="s">
        <v>217</v>
      </c>
      <c r="D71">
        <v>0.45</v>
      </c>
      <c r="E71">
        <v>-17</v>
      </c>
      <c r="F71" t="s">
        <v>218</v>
      </c>
    </row>
    <row r="72" spans="1:6" x14ac:dyDescent="0.35">
      <c r="A72" t="s">
        <v>219</v>
      </c>
      <c r="B72" t="s">
        <v>220</v>
      </c>
      <c r="C72" t="s">
        <v>221</v>
      </c>
      <c r="D72">
        <v>0.28999999999999998</v>
      </c>
      <c r="E72">
        <v>-5</v>
      </c>
      <c r="F72" t="s">
        <v>190</v>
      </c>
    </row>
    <row r="73" spans="1:6" x14ac:dyDescent="0.35">
      <c r="A73" t="s">
        <v>222</v>
      </c>
      <c r="B73" t="s">
        <v>223</v>
      </c>
      <c r="C73" t="s">
        <v>224</v>
      </c>
      <c r="D73">
        <v>0.43</v>
      </c>
      <c r="E73">
        <v>-6</v>
      </c>
      <c r="F73" t="s">
        <v>212</v>
      </c>
    </row>
    <row r="74" spans="1:6" x14ac:dyDescent="0.35">
      <c r="A74" t="s">
        <v>225</v>
      </c>
      <c r="B74" t="s">
        <v>226</v>
      </c>
      <c r="C74" t="s">
        <v>227</v>
      </c>
      <c r="D74">
        <v>0.43</v>
      </c>
      <c r="E74">
        <v>-5</v>
      </c>
      <c r="F74" t="s">
        <v>190</v>
      </c>
    </row>
    <row r="75" spans="1:6" x14ac:dyDescent="0.35">
      <c r="A75" t="s">
        <v>228</v>
      </c>
      <c r="B75" t="s">
        <v>229</v>
      </c>
      <c r="C75" t="s">
        <v>208</v>
      </c>
      <c r="D75">
        <v>0.47</v>
      </c>
      <c r="E75">
        <v>-6</v>
      </c>
      <c r="F75" t="s">
        <v>209</v>
      </c>
    </row>
    <row r="76" spans="1:6" x14ac:dyDescent="0.35">
      <c r="A76" t="s">
        <v>230</v>
      </c>
      <c r="B76" t="s">
        <v>231</v>
      </c>
      <c r="C76" t="s">
        <v>232</v>
      </c>
      <c r="D76">
        <v>0.47</v>
      </c>
      <c r="E76">
        <v>-7</v>
      </c>
      <c r="F76" t="s">
        <v>194</v>
      </c>
    </row>
    <row r="77" spans="1:6" x14ac:dyDescent="0.35">
      <c r="A77" t="s">
        <v>233</v>
      </c>
      <c r="B77" t="s">
        <v>234</v>
      </c>
      <c r="C77" t="s">
        <v>235</v>
      </c>
      <c r="D77">
        <v>0.47</v>
      </c>
      <c r="F77" t="s">
        <v>78</v>
      </c>
    </row>
    <row r="78" spans="1:6" x14ac:dyDescent="0.35">
      <c r="A78" t="s">
        <v>236</v>
      </c>
      <c r="B78" t="s">
        <v>237</v>
      </c>
      <c r="C78" t="s">
        <v>153</v>
      </c>
      <c r="D78">
        <v>0.43</v>
      </c>
      <c r="F78" t="s">
        <v>78</v>
      </c>
    </row>
    <row r="79" spans="1:6" x14ac:dyDescent="0.35">
      <c r="A79" t="s">
        <v>238</v>
      </c>
      <c r="B79" t="s">
        <v>239</v>
      </c>
      <c r="C79" t="s">
        <v>240</v>
      </c>
      <c r="D79">
        <v>0.04</v>
      </c>
      <c r="F79" t="s">
        <v>78</v>
      </c>
    </row>
    <row r="80" spans="1:6" x14ac:dyDescent="0.35">
      <c r="A80" t="s">
        <v>241</v>
      </c>
      <c r="B80" t="s">
        <v>242</v>
      </c>
      <c r="C80" t="s">
        <v>243</v>
      </c>
      <c r="D80">
        <v>0.49</v>
      </c>
      <c r="F80" t="s">
        <v>78</v>
      </c>
    </row>
    <row r="81" spans="1:6" x14ac:dyDescent="0.35">
      <c r="A81" t="s">
        <v>244</v>
      </c>
      <c r="B81" t="s">
        <v>245</v>
      </c>
      <c r="C81" t="s">
        <v>15</v>
      </c>
      <c r="D81">
        <v>0.46</v>
      </c>
      <c r="E81">
        <v>-1</v>
      </c>
      <c r="F81" t="s">
        <v>190</v>
      </c>
    </row>
    <row r="82" spans="1:6" x14ac:dyDescent="0.35">
      <c r="A82" t="s">
        <v>246</v>
      </c>
      <c r="B82" t="s">
        <v>247</v>
      </c>
      <c r="C82" t="s">
        <v>248</v>
      </c>
      <c r="D82">
        <v>0.49</v>
      </c>
      <c r="E82">
        <v>-1</v>
      </c>
      <c r="F82" t="s">
        <v>59</v>
      </c>
    </row>
    <row r="83" spans="1:6" x14ac:dyDescent="0.35">
      <c r="A83" t="s">
        <v>249</v>
      </c>
      <c r="B83" t="s">
        <v>250</v>
      </c>
      <c r="C83" t="s">
        <v>251</v>
      </c>
      <c r="D83">
        <v>0.36</v>
      </c>
      <c r="F83" t="s">
        <v>78</v>
      </c>
    </row>
    <row r="84" spans="1:6" x14ac:dyDescent="0.35">
      <c r="A84" t="s">
        <v>252</v>
      </c>
      <c r="B84" t="s">
        <v>253</v>
      </c>
      <c r="C84" t="s">
        <v>163</v>
      </c>
      <c r="D84">
        <v>0.02</v>
      </c>
      <c r="F84" t="s">
        <v>78</v>
      </c>
    </row>
    <row r="85" spans="1:6" x14ac:dyDescent="0.35">
      <c r="A85" t="s">
        <v>254</v>
      </c>
      <c r="B85" t="s">
        <v>255</v>
      </c>
      <c r="C85" t="s">
        <v>92</v>
      </c>
      <c r="D85">
        <v>0.49</v>
      </c>
      <c r="E85">
        <v>-1</v>
      </c>
      <c r="F85" t="s">
        <v>29</v>
      </c>
    </row>
    <row r="86" spans="1:6" x14ac:dyDescent="0.35">
      <c r="A86" t="s">
        <v>138</v>
      </c>
      <c r="B86" t="s">
        <v>139</v>
      </c>
      <c r="C86" t="s">
        <v>140</v>
      </c>
      <c r="D86">
        <v>0.42</v>
      </c>
      <c r="F86" t="s">
        <v>78</v>
      </c>
    </row>
    <row r="87" spans="1:6" x14ac:dyDescent="0.35">
      <c r="A87" t="s">
        <v>155</v>
      </c>
      <c r="B87" t="s">
        <v>256</v>
      </c>
      <c r="C87" t="s">
        <v>223</v>
      </c>
      <c r="D87">
        <v>0.49</v>
      </c>
      <c r="F87" t="s">
        <v>78</v>
      </c>
    </row>
    <row r="88" spans="1:6" x14ac:dyDescent="0.35">
      <c r="A88" t="s">
        <v>257</v>
      </c>
      <c r="B88" t="s">
        <v>258</v>
      </c>
      <c r="C88" t="s">
        <v>163</v>
      </c>
      <c r="D88">
        <v>0.14000000000000001</v>
      </c>
      <c r="F88" t="s">
        <v>78</v>
      </c>
    </row>
    <row r="89" spans="1:6" x14ac:dyDescent="0.35">
      <c r="A89" t="s">
        <v>259</v>
      </c>
      <c r="B89" t="s">
        <v>260</v>
      </c>
      <c r="C89" t="s">
        <v>261</v>
      </c>
      <c r="D89">
        <v>0.49</v>
      </c>
      <c r="F89" t="s">
        <v>78</v>
      </c>
    </row>
    <row r="90" spans="1:6" x14ac:dyDescent="0.35">
      <c r="A90" t="s">
        <v>262</v>
      </c>
      <c r="B90" t="s">
        <v>43</v>
      </c>
      <c r="C90" t="s">
        <v>173</v>
      </c>
      <c r="D90">
        <v>0.11</v>
      </c>
      <c r="F90" t="s">
        <v>78</v>
      </c>
    </row>
    <row r="91" spans="1:6" x14ac:dyDescent="0.35">
      <c r="A91" t="s">
        <v>176</v>
      </c>
      <c r="B91" t="s">
        <v>263</v>
      </c>
      <c r="C91" t="s">
        <v>264</v>
      </c>
      <c r="D91">
        <v>0.49</v>
      </c>
      <c r="F91" t="s">
        <v>78</v>
      </c>
    </row>
    <row r="92" spans="1:6" x14ac:dyDescent="0.35">
      <c r="A92" t="s">
        <v>265</v>
      </c>
      <c r="B92" t="s">
        <v>266</v>
      </c>
      <c r="C92" t="s">
        <v>163</v>
      </c>
      <c r="D92">
        <v>0.14000000000000001</v>
      </c>
      <c r="F92" t="s">
        <v>78</v>
      </c>
    </row>
    <row r="93" spans="1:6" x14ac:dyDescent="0.35">
      <c r="A93" t="s">
        <v>267</v>
      </c>
      <c r="B93" t="s">
        <v>268</v>
      </c>
      <c r="C93" t="s">
        <v>269</v>
      </c>
      <c r="D93">
        <v>0.43</v>
      </c>
      <c r="F93" t="s">
        <v>78</v>
      </c>
    </row>
    <row r="94" spans="1:6" x14ac:dyDescent="0.35">
      <c r="A94" t="s">
        <v>270</v>
      </c>
      <c r="B94" t="s">
        <v>271</v>
      </c>
      <c r="C94" t="s">
        <v>272</v>
      </c>
      <c r="D94">
        <v>0.5</v>
      </c>
      <c r="F94" t="s">
        <v>78</v>
      </c>
    </row>
    <row r="95" spans="1:6" x14ac:dyDescent="0.35">
      <c r="A95" t="s">
        <v>273</v>
      </c>
      <c r="B95" t="s">
        <v>274</v>
      </c>
      <c r="C95" t="s">
        <v>185</v>
      </c>
      <c r="D95">
        <v>0.48</v>
      </c>
      <c r="F95" t="s">
        <v>78</v>
      </c>
    </row>
    <row r="96" spans="1:6" x14ac:dyDescent="0.35">
      <c r="A96" t="s">
        <v>275</v>
      </c>
      <c r="B96" t="s">
        <v>276</v>
      </c>
      <c r="C96" t="s">
        <v>277</v>
      </c>
      <c r="D96">
        <v>0.48</v>
      </c>
      <c r="F96" t="s">
        <v>78</v>
      </c>
    </row>
    <row r="97" spans="1:6" x14ac:dyDescent="0.35">
      <c r="A97" t="s">
        <v>278</v>
      </c>
      <c r="B97" t="s">
        <v>227</v>
      </c>
      <c r="C97" t="s">
        <v>163</v>
      </c>
      <c r="D97">
        <v>0.47</v>
      </c>
      <c r="F97" t="s">
        <v>78</v>
      </c>
    </row>
    <row r="98" spans="1:6" x14ac:dyDescent="0.35">
      <c r="A98" t="s">
        <v>278</v>
      </c>
      <c r="B98" t="s">
        <v>227</v>
      </c>
      <c r="C98" t="s">
        <v>163</v>
      </c>
      <c r="D98">
        <v>0.47</v>
      </c>
      <c r="F98" t="s">
        <v>78</v>
      </c>
    </row>
    <row r="99" spans="1:6" x14ac:dyDescent="0.35">
      <c r="A99" t="s">
        <v>279</v>
      </c>
      <c r="B99" t="s">
        <v>153</v>
      </c>
      <c r="C99" t="s">
        <v>280</v>
      </c>
      <c r="D99">
        <v>0.5</v>
      </c>
      <c r="F99" t="s">
        <v>78</v>
      </c>
    </row>
    <row r="100" spans="1:6" x14ac:dyDescent="0.35">
      <c r="A100" t="s">
        <v>281</v>
      </c>
      <c r="B100" t="s">
        <v>282</v>
      </c>
      <c r="C100" t="s">
        <v>162</v>
      </c>
      <c r="D100">
        <v>0.08</v>
      </c>
      <c r="F100" t="s">
        <v>78</v>
      </c>
    </row>
    <row r="101" spans="1:6" x14ac:dyDescent="0.35">
      <c r="A101" t="s">
        <v>283</v>
      </c>
      <c r="B101" t="s">
        <v>284</v>
      </c>
      <c r="C101" t="s">
        <v>168</v>
      </c>
      <c r="D101">
        <v>0.02</v>
      </c>
      <c r="F101" t="s">
        <v>78</v>
      </c>
    </row>
    <row r="102" spans="1:6" x14ac:dyDescent="0.35">
      <c r="A102" t="s">
        <v>285</v>
      </c>
      <c r="B102" t="s">
        <v>286</v>
      </c>
      <c r="C102" t="s">
        <v>287</v>
      </c>
      <c r="D102">
        <v>0.49</v>
      </c>
      <c r="F102" t="s">
        <v>78</v>
      </c>
    </row>
    <row r="103" spans="1:6" x14ac:dyDescent="0.35">
      <c r="A103" t="s">
        <v>288</v>
      </c>
      <c r="B103" t="s">
        <v>289</v>
      </c>
      <c r="C103" t="s">
        <v>67</v>
      </c>
      <c r="D103">
        <v>0.04</v>
      </c>
      <c r="F103" t="s">
        <v>78</v>
      </c>
    </row>
    <row r="104" spans="1:6" x14ac:dyDescent="0.35">
      <c r="A104" t="s">
        <v>290</v>
      </c>
      <c r="B104" t="s">
        <v>291</v>
      </c>
      <c r="C104" t="s">
        <v>292</v>
      </c>
      <c r="D104">
        <v>0.49</v>
      </c>
      <c r="F104" t="s">
        <v>78</v>
      </c>
    </row>
    <row r="105" spans="1:6" x14ac:dyDescent="0.35">
      <c r="A105" t="s">
        <v>293</v>
      </c>
      <c r="B105" t="s">
        <v>294</v>
      </c>
      <c r="C105" t="s">
        <v>295</v>
      </c>
      <c r="D105">
        <v>0.42</v>
      </c>
      <c r="F105" t="s">
        <v>78</v>
      </c>
    </row>
    <row r="106" spans="1:6" x14ac:dyDescent="0.35">
      <c r="A106" t="s">
        <v>296</v>
      </c>
      <c r="B106" t="s">
        <v>297</v>
      </c>
      <c r="C106" t="s">
        <v>298</v>
      </c>
      <c r="D106">
        <v>0.21</v>
      </c>
      <c r="E106">
        <v>-1</v>
      </c>
      <c r="F106" t="s">
        <v>59</v>
      </c>
    </row>
    <row r="107" spans="1:6" x14ac:dyDescent="0.35">
      <c r="A107" t="s">
        <v>299</v>
      </c>
      <c r="B107" t="s">
        <v>300</v>
      </c>
      <c r="C107" t="s">
        <v>301</v>
      </c>
      <c r="D107">
        <v>0.41</v>
      </c>
      <c r="F107" t="s">
        <v>78</v>
      </c>
    </row>
    <row r="108" spans="1:6" x14ac:dyDescent="0.35">
      <c r="A108" t="s">
        <v>302</v>
      </c>
      <c r="B108" t="s">
        <v>303</v>
      </c>
      <c r="C108" t="s">
        <v>304</v>
      </c>
      <c r="D108">
        <v>0.01</v>
      </c>
      <c r="F108" t="s">
        <v>78</v>
      </c>
    </row>
    <row r="109" spans="1:6" x14ac:dyDescent="0.35">
      <c r="A109" t="s">
        <v>305</v>
      </c>
      <c r="B109" t="s">
        <v>306</v>
      </c>
      <c r="C109" t="s">
        <v>307</v>
      </c>
      <c r="D109">
        <v>0.24</v>
      </c>
      <c r="F109" t="s">
        <v>78</v>
      </c>
    </row>
    <row r="110" spans="1:6" x14ac:dyDescent="0.35">
      <c r="A110" t="s">
        <v>308</v>
      </c>
      <c r="B110" t="s">
        <v>309</v>
      </c>
      <c r="C110" t="s">
        <v>310</v>
      </c>
      <c r="D110">
        <v>0.34</v>
      </c>
      <c r="F110" t="s">
        <v>78</v>
      </c>
    </row>
    <row r="111" spans="1:6" x14ac:dyDescent="0.35">
      <c r="A111" t="s">
        <v>311</v>
      </c>
      <c r="B111" t="s">
        <v>147</v>
      </c>
      <c r="C111" t="s">
        <v>312</v>
      </c>
      <c r="D111">
        <v>0.34</v>
      </c>
      <c r="F111" t="s">
        <v>78</v>
      </c>
    </row>
    <row r="112" spans="1:6" x14ac:dyDescent="0.35">
      <c r="A112" t="s">
        <v>313</v>
      </c>
      <c r="B112" t="s">
        <v>314</v>
      </c>
      <c r="C112" t="s">
        <v>163</v>
      </c>
      <c r="D112">
        <v>0.02</v>
      </c>
      <c r="F112" t="s">
        <v>78</v>
      </c>
    </row>
    <row r="113" spans="1:6" x14ac:dyDescent="0.35">
      <c r="A113" t="s">
        <v>315</v>
      </c>
      <c r="B113" t="s">
        <v>316</v>
      </c>
      <c r="C113" t="s">
        <v>240</v>
      </c>
      <c r="D113">
        <v>0.02</v>
      </c>
      <c r="F113" t="s">
        <v>78</v>
      </c>
    </row>
    <row r="114" spans="1:6" x14ac:dyDescent="0.35">
      <c r="A114" t="s">
        <v>317</v>
      </c>
      <c r="B114" t="s">
        <v>156</v>
      </c>
      <c r="C114" t="s">
        <v>318</v>
      </c>
      <c r="D114">
        <v>0.64</v>
      </c>
      <c r="F114" t="s">
        <v>78</v>
      </c>
    </row>
    <row r="115" spans="1:6" x14ac:dyDescent="0.35">
      <c r="A115" t="s">
        <v>319</v>
      </c>
      <c r="B115" t="s">
        <v>243</v>
      </c>
      <c r="C115" t="s">
        <v>173</v>
      </c>
      <c r="D115">
        <v>0.5</v>
      </c>
      <c r="E115">
        <v>-1</v>
      </c>
      <c r="F115" t="s">
        <v>320</v>
      </c>
    </row>
    <row r="116" spans="1:6" x14ac:dyDescent="0.35">
      <c r="A116" t="s">
        <v>321</v>
      </c>
      <c r="B116" t="s">
        <v>322</v>
      </c>
      <c r="C116" t="s">
        <v>323</v>
      </c>
      <c r="D116">
        <v>0.47</v>
      </c>
      <c r="F116"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A18B-137C-4C27-B463-FDD8D5654695}">
  <sheetPr>
    <tabColor theme="9"/>
  </sheetPr>
  <dimension ref="A1:Q115"/>
  <sheetViews>
    <sheetView topLeftCell="F1" zoomScaleNormal="100" workbookViewId="0">
      <selection activeCell="H2" sqref="H2"/>
    </sheetView>
  </sheetViews>
  <sheetFormatPr defaultRowHeight="14.5" x14ac:dyDescent="0.35"/>
  <cols>
    <col min="1" max="1" width="49.453125" customWidth="1"/>
    <col min="2" max="2" width="15.08984375" style="3" customWidth="1"/>
    <col min="3" max="3" width="13.81640625" customWidth="1"/>
    <col min="4" max="4" width="10.6328125" style="3" bestFit="1" customWidth="1"/>
    <col min="5" max="5" width="9.08984375" bestFit="1" customWidth="1"/>
    <col min="6" max="6" width="8.453125" style="4" bestFit="1" customWidth="1"/>
    <col min="7" max="7" width="15.36328125" style="29" customWidth="1"/>
    <col min="8" max="8" width="13.453125" style="29" customWidth="1"/>
    <col min="9" max="9" width="15.1796875" style="5" customWidth="1"/>
    <col min="10" max="10" width="16" style="5" customWidth="1"/>
    <col min="11" max="11" width="17.7265625" style="5" customWidth="1"/>
    <col min="12" max="12" width="26.1796875" style="5" customWidth="1"/>
    <col min="13" max="13" width="23.54296875" style="6" customWidth="1"/>
    <col min="14" max="14" width="13.08984375" bestFit="1" customWidth="1"/>
    <col min="15" max="15" width="19.1796875" bestFit="1" customWidth="1"/>
    <col min="16" max="16" width="19.1796875" customWidth="1"/>
    <col min="17" max="17" width="20" customWidth="1"/>
  </cols>
  <sheetData>
    <row r="1" spans="1:17" x14ac:dyDescent="0.35">
      <c r="A1" t="s">
        <v>0</v>
      </c>
      <c r="B1" s="3" t="s">
        <v>330</v>
      </c>
      <c r="C1" s="3" t="s">
        <v>331</v>
      </c>
      <c r="D1" s="4" t="s">
        <v>3</v>
      </c>
      <c r="E1" s="5" t="s">
        <v>4</v>
      </c>
      <c r="F1" s="6" t="s">
        <v>332</v>
      </c>
      <c r="G1" s="3" t="s">
        <v>468</v>
      </c>
      <c r="H1" s="3" t="s">
        <v>469</v>
      </c>
      <c r="I1" s="3" t="s">
        <v>470</v>
      </c>
      <c r="J1" s="3" t="s">
        <v>475</v>
      </c>
      <c r="K1" s="3" t="s">
        <v>478</v>
      </c>
      <c r="L1" s="3" t="s">
        <v>479</v>
      </c>
      <c r="M1" s="3" t="s">
        <v>480</v>
      </c>
      <c r="N1" s="3" t="s">
        <v>481</v>
      </c>
      <c r="O1" s="3" t="s">
        <v>482</v>
      </c>
      <c r="P1" s="3" t="s">
        <v>510</v>
      </c>
      <c r="Q1" t="s">
        <v>333</v>
      </c>
    </row>
    <row r="2" spans="1:17" x14ac:dyDescent="0.35">
      <c r="A2" t="s">
        <v>319</v>
      </c>
      <c r="B2" s="3">
        <v>450</v>
      </c>
      <c r="C2" s="3">
        <v>900</v>
      </c>
      <c r="D2" s="4">
        <v>0.5</v>
      </c>
      <c r="E2" s="5">
        <v>1</v>
      </c>
      <c r="F2" s="6">
        <v>2</v>
      </c>
      <c r="G2" s="3">
        <f>tblProducts[[#This Row],[Old Price]]-tblProducts[[#This Row],[Current Price]]</f>
        <v>450</v>
      </c>
      <c r="H2" s="3" t="str">
        <f>IF(tblProducts[[#This Row],[Rating]]="","Missing",IF(tblProducts[[#This Row],[Rating]]&lt;3,"Poor",IF(tblProducts[[#This Row],[Rating]]&lt;=4.5,"Average","Excellent")))</f>
        <v>Poor</v>
      </c>
      <c r="I2" s="3" t="str">
        <f>IF(tblProducts[[#This Row],[Discount]]="","Missing",IF(tblProducts[[#This Row],[Discount]]&lt;=20%,"Low Discount",IF(tblProducts[[#This Row],[Discount]]&lt;=40%,"Medium Discount","High Discount")))</f>
        <v>High Discount</v>
      </c>
      <c r="J2" s="3" t="str">
        <f>IF(tblProducts[[#This Row],[Current Price]]&lt;=Price_Q1,"Low Price",IF(tblProducts[[#This Row],[Current Price]]&lt;=Price_Q3,"Medium Price","High Price"))</f>
        <v>Low Price</v>
      </c>
      <c r="K2" s="3" t="str">
        <f>IF(tblProducts[[#This Row],[Review]]="","Missing",IF(tblProducts[[#This Row],[Review]]&gt;=Review_P75,"High Engagement","Low Engagement"))</f>
        <v>Low Engagement</v>
      </c>
      <c r="L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2" s="3" t="str">
        <f>IF(AND(tblProducts[[#This Row],[Rating Category]]="Excellent",tblProducts[[#This Row],[Engagement Flag]]="High Engagement"),"Yes","No")</f>
        <v>No</v>
      </c>
      <c r="N2" s="3" t="str">
        <f>IF(AND(tblProducts[[#This Row],[Discount Category]]="High Discount",tblProducts[[#This Row],[Rating Category]]="Poor"),"Yes","No")</f>
        <v>Yes</v>
      </c>
      <c r="O2" s="3" t="str">
        <f>IF(AND(tblProducts[[#This Row],[Discount Category]]="High Discount",tblProducts[[#This Row],[Rating Category]]="Excellent"),"Yes","No")</f>
        <v>No</v>
      </c>
      <c r="P2" s="3" t="str">
        <f>IF(AND(tblProducts[[#This Row],[Rating Category]]="Poor",tblProducts[[#This Row],[Engagement Flag]]="Low Engagement"),"Yes","No")</f>
        <v>Yes</v>
      </c>
      <c r="Q2" t="s">
        <v>335</v>
      </c>
    </row>
    <row r="3" spans="1:17" x14ac:dyDescent="0.35">
      <c r="A3" t="s">
        <v>191</v>
      </c>
      <c r="B3" s="3">
        <v>2115</v>
      </c>
      <c r="C3" s="3">
        <v>4700</v>
      </c>
      <c r="D3" s="4">
        <v>0.55000000000000004</v>
      </c>
      <c r="E3" s="5">
        <v>13</v>
      </c>
      <c r="F3" s="6">
        <v>2.1</v>
      </c>
      <c r="G3" s="3">
        <f>tblProducts[[#This Row],[Old Price]]-tblProducts[[#This Row],[Current Price]]</f>
        <v>2585</v>
      </c>
      <c r="H3" s="3" t="str">
        <f>IF(tblProducts[[#This Row],[Rating]]="","Missing",IF(tblProducts[[#This Row],[Rating]]&lt;3,"Poor",IF(tblProducts[[#This Row],[Rating]]&lt;=4.5,"Average","Excellent")))</f>
        <v>Poor</v>
      </c>
      <c r="I3" s="3" t="str">
        <f>IF(tblProducts[[#This Row],[Discount]]="","Missing",IF(tblProducts[[#This Row],[Discount]]&lt;=20%,"Low Discount",IF(tblProducts[[#This Row],[Discount]]&lt;=40%,"Medium Discount","High Discount")))</f>
        <v>High Discount</v>
      </c>
      <c r="J3" s="3" t="str">
        <f>IF(tblProducts[[#This Row],[Current Price]]&lt;=Price_Q1,"Low Price",IF(tblProducts[[#This Row],[Current Price]]&lt;=Price_Q3,"Medium Price","High Price"))</f>
        <v>High Price</v>
      </c>
      <c r="K3" s="3" t="str">
        <f>IF(tblProducts[[#This Row],[Review]]="","Missing",IF(tblProducts[[#This Row],[Review]]&gt;=Review_P75,"High Engagement","Low Engagement"))</f>
        <v>Low Engagement</v>
      </c>
      <c r="L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3" s="3" t="str">
        <f>IF(AND(tblProducts[[#This Row],[Rating Category]]="Excellent",tblProducts[[#This Row],[Engagement Flag]]="High Engagement"),"Yes","No")</f>
        <v>No</v>
      </c>
      <c r="N3" s="3" t="str">
        <f>IF(AND(tblProducts[[#This Row],[Discount Category]]="High Discount",tblProducts[[#This Row],[Rating Category]]="Poor"),"Yes","No")</f>
        <v>Yes</v>
      </c>
      <c r="O3" s="3" t="str">
        <f>IF(AND(tblProducts[[#This Row],[Discount Category]]="High Discount",tblProducts[[#This Row],[Rating Category]]="Excellent"),"Yes","No")</f>
        <v>No</v>
      </c>
      <c r="P3" s="3" t="str">
        <f>IF(AND(tblProducts[[#This Row],[Rating Category]]="Poor",tblProducts[[#This Row],[Engagement Flag]]="Low Engagement"),"Yes","No")</f>
        <v>Yes</v>
      </c>
      <c r="Q3" t="s">
        <v>335</v>
      </c>
    </row>
    <row r="4" spans="1:17" x14ac:dyDescent="0.35">
      <c r="A4" t="s">
        <v>230</v>
      </c>
      <c r="B4" s="3">
        <v>1570</v>
      </c>
      <c r="C4" s="3">
        <v>2988</v>
      </c>
      <c r="D4" s="4">
        <v>0.47</v>
      </c>
      <c r="E4" s="5">
        <v>7</v>
      </c>
      <c r="F4" s="6">
        <v>2.1</v>
      </c>
      <c r="G4" s="3">
        <f>tblProducts[[#This Row],[Old Price]]-tblProducts[[#This Row],[Current Price]]</f>
        <v>1418</v>
      </c>
      <c r="H4" s="3" t="str">
        <f>IF(tblProducts[[#This Row],[Rating]]="","Missing",IF(tblProducts[[#This Row],[Rating]]&lt;3,"Poor",IF(tblProducts[[#This Row],[Rating]]&lt;=4.5,"Average","Excellent")))</f>
        <v>Poor</v>
      </c>
      <c r="I4" s="3" t="str">
        <f>IF(tblProducts[[#This Row],[Discount]]="","Missing",IF(tblProducts[[#This Row],[Discount]]&lt;=20%,"Low Discount",IF(tblProducts[[#This Row],[Discount]]&lt;=40%,"Medium Discount","High Discount")))</f>
        <v>High Discount</v>
      </c>
      <c r="J4" s="3" t="str">
        <f>IF(tblProducts[[#This Row],[Current Price]]&lt;=Price_Q1,"Low Price",IF(tblProducts[[#This Row],[Current Price]]&lt;=Price_Q3,"Medium Price","High Price"))</f>
        <v>Medium Price</v>
      </c>
      <c r="K4" s="3" t="str">
        <f>IF(tblProducts[[#This Row],[Review]]="","Missing",IF(tblProducts[[#This Row],[Review]]&gt;=Review_P75,"High Engagement","Low Engagement"))</f>
        <v>Low Engagement</v>
      </c>
      <c r="L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4" s="3" t="str">
        <f>IF(AND(tblProducts[[#This Row],[Rating Category]]="Excellent",tblProducts[[#This Row],[Engagement Flag]]="High Engagement"),"Yes","No")</f>
        <v>No</v>
      </c>
      <c r="N4" s="3" t="str">
        <f>IF(AND(tblProducts[[#This Row],[Discount Category]]="High Discount",tblProducts[[#This Row],[Rating Category]]="Poor"),"Yes","No")</f>
        <v>Yes</v>
      </c>
      <c r="O4" s="3" t="str">
        <f>IF(AND(tblProducts[[#This Row],[Discount Category]]="High Discount",tblProducts[[#This Row],[Rating Category]]="Excellent"),"Yes","No")</f>
        <v>No</v>
      </c>
      <c r="P4" s="3" t="str">
        <f>IF(AND(tblProducts[[#This Row],[Rating Category]]="Poor",tblProducts[[#This Row],[Engagement Flag]]="Low Engagement"),"Yes","No")</f>
        <v>Yes</v>
      </c>
      <c r="Q4" t="s">
        <v>335</v>
      </c>
    </row>
    <row r="5" spans="1:17" x14ac:dyDescent="0.35">
      <c r="A5" t="s">
        <v>207</v>
      </c>
      <c r="B5" s="3">
        <v>990</v>
      </c>
      <c r="C5" s="3">
        <v>1814</v>
      </c>
      <c r="D5" s="4">
        <v>0.45</v>
      </c>
      <c r="E5" s="5">
        <v>6</v>
      </c>
      <c r="F5" s="6">
        <v>2.2000000000000002</v>
      </c>
      <c r="G5" s="3">
        <f>tblProducts[[#This Row],[Old Price]]-tblProducts[[#This Row],[Current Price]]</f>
        <v>824</v>
      </c>
      <c r="H5" s="3" t="str">
        <f>IF(tblProducts[[#This Row],[Rating]]="","Missing",IF(tblProducts[[#This Row],[Rating]]&lt;3,"Poor",IF(tblProducts[[#This Row],[Rating]]&lt;=4.5,"Average","Excellent")))</f>
        <v>Poor</v>
      </c>
      <c r="I5" s="3" t="str">
        <f>IF(tblProducts[[#This Row],[Discount]]="","Missing",IF(tblProducts[[#This Row],[Discount]]&lt;=20%,"Low Discount",IF(tblProducts[[#This Row],[Discount]]&lt;=40%,"Medium Discount","High Discount")))</f>
        <v>High Discount</v>
      </c>
      <c r="J5" s="3" t="str">
        <f>IF(tblProducts[[#This Row],[Current Price]]&lt;=Price_Q1,"Low Price",IF(tblProducts[[#This Row],[Current Price]]&lt;=Price_Q3,"Medium Price","High Price"))</f>
        <v>Medium Price</v>
      </c>
      <c r="K5" s="3" t="str">
        <f>IF(tblProducts[[#This Row],[Review]]="","Missing",IF(tblProducts[[#This Row],[Review]]&gt;=Review_P75,"High Engagement","Low Engagement"))</f>
        <v>Low Engagement</v>
      </c>
      <c r="L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5" s="3" t="str">
        <f>IF(AND(tblProducts[[#This Row],[Rating Category]]="Excellent",tblProducts[[#This Row],[Engagement Flag]]="High Engagement"),"Yes","No")</f>
        <v>No</v>
      </c>
      <c r="N5" s="3" t="str">
        <f>IF(AND(tblProducts[[#This Row],[Discount Category]]="High Discount",tblProducts[[#This Row],[Rating Category]]="Poor"),"Yes","No")</f>
        <v>Yes</v>
      </c>
      <c r="O5" s="3" t="str">
        <f>IF(AND(tblProducts[[#This Row],[Discount Category]]="High Discount",tblProducts[[#This Row],[Rating Category]]="Excellent"),"Yes","No")</f>
        <v>No</v>
      </c>
      <c r="P5" s="3" t="str">
        <f>IF(AND(tblProducts[[#This Row],[Rating Category]]="Poor",tblProducts[[#This Row],[Engagement Flag]]="Low Engagement"),"Yes","No")</f>
        <v>Yes</v>
      </c>
      <c r="Q5" t="s">
        <v>335</v>
      </c>
    </row>
    <row r="6" spans="1:17" x14ac:dyDescent="0.35">
      <c r="A6" t="s">
        <v>228</v>
      </c>
      <c r="B6" s="3">
        <v>968</v>
      </c>
      <c r="C6" s="3">
        <v>1814</v>
      </c>
      <c r="D6" s="4">
        <v>0.47</v>
      </c>
      <c r="E6" s="5">
        <v>6</v>
      </c>
      <c r="F6" s="6">
        <v>2.2000000000000002</v>
      </c>
      <c r="G6" s="3">
        <f>tblProducts[[#This Row],[Old Price]]-tblProducts[[#This Row],[Current Price]]</f>
        <v>846</v>
      </c>
      <c r="H6" s="3" t="str">
        <f>IF(tblProducts[[#This Row],[Rating]]="","Missing",IF(tblProducts[[#This Row],[Rating]]&lt;3,"Poor",IF(tblProducts[[#This Row],[Rating]]&lt;=4.5,"Average","Excellent")))</f>
        <v>Poor</v>
      </c>
      <c r="I6" s="3" t="str">
        <f>IF(tblProducts[[#This Row],[Discount]]="","Missing",IF(tblProducts[[#This Row],[Discount]]&lt;=20%,"Low Discount",IF(tblProducts[[#This Row],[Discount]]&lt;=40%,"Medium Discount","High Discount")))</f>
        <v>High Discount</v>
      </c>
      <c r="J6" s="3" t="str">
        <f>IF(tblProducts[[#This Row],[Current Price]]&lt;=Price_Q1,"Low Price",IF(tblProducts[[#This Row],[Current Price]]&lt;=Price_Q3,"Medium Price","High Price"))</f>
        <v>Medium Price</v>
      </c>
      <c r="K6" s="3" t="str">
        <f>IF(tblProducts[[#This Row],[Review]]="","Missing",IF(tblProducts[[#This Row],[Review]]&gt;=Review_P75,"High Engagement","Low Engagement"))</f>
        <v>Low Engagement</v>
      </c>
      <c r="L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6" s="3" t="str">
        <f>IF(AND(tblProducts[[#This Row],[Rating Category]]="Excellent",tblProducts[[#This Row],[Engagement Flag]]="High Engagement"),"Yes","No")</f>
        <v>No</v>
      </c>
      <c r="N6" s="3" t="str">
        <f>IF(AND(tblProducts[[#This Row],[Discount Category]]="High Discount",tblProducts[[#This Row],[Rating Category]]="Poor"),"Yes","No")</f>
        <v>Yes</v>
      </c>
      <c r="O6" s="3" t="str">
        <f>IF(AND(tblProducts[[#This Row],[Discount Category]]="High Discount",tblProducts[[#This Row],[Rating Category]]="Excellent"),"Yes","No")</f>
        <v>No</v>
      </c>
      <c r="P6" s="3" t="str">
        <f>IF(AND(tblProducts[[#This Row],[Rating Category]]="Poor",tblProducts[[#This Row],[Engagement Flag]]="Low Engagement"),"Yes","No")</f>
        <v>Yes</v>
      </c>
      <c r="Q6" t="s">
        <v>335</v>
      </c>
    </row>
    <row r="7" spans="1:17" x14ac:dyDescent="0.35">
      <c r="A7" t="s">
        <v>210</v>
      </c>
      <c r="B7" s="3">
        <v>1000</v>
      </c>
      <c r="C7" s="3">
        <v>2000</v>
      </c>
      <c r="D7" s="4">
        <v>0.5</v>
      </c>
      <c r="E7" s="5">
        <v>7</v>
      </c>
      <c r="F7" s="6">
        <v>2.2999999999999998</v>
      </c>
      <c r="G7" s="3">
        <f>tblProducts[[#This Row],[Old Price]]-tblProducts[[#This Row],[Current Price]]</f>
        <v>1000</v>
      </c>
      <c r="H7" s="3" t="str">
        <f>IF(tblProducts[[#This Row],[Rating]]="","Missing",IF(tblProducts[[#This Row],[Rating]]&lt;3,"Poor",IF(tblProducts[[#This Row],[Rating]]&lt;=4.5,"Average","Excellent")))</f>
        <v>Poor</v>
      </c>
      <c r="I7" s="3" t="str">
        <f>IF(tblProducts[[#This Row],[Discount]]="","Missing",IF(tblProducts[[#This Row],[Discount]]&lt;=20%,"Low Discount",IF(tblProducts[[#This Row],[Discount]]&lt;=40%,"Medium Discount","High Discount")))</f>
        <v>High Discount</v>
      </c>
      <c r="J7" s="3" t="str">
        <f>IF(tblProducts[[#This Row],[Current Price]]&lt;=Price_Q1,"Low Price",IF(tblProducts[[#This Row],[Current Price]]&lt;=Price_Q3,"Medium Price","High Price"))</f>
        <v>Medium Price</v>
      </c>
      <c r="K7" s="3" t="str">
        <f>IF(tblProducts[[#This Row],[Review]]="","Missing",IF(tblProducts[[#This Row],[Review]]&gt;=Review_P75,"High Engagement","Low Engagement"))</f>
        <v>Low Engagement</v>
      </c>
      <c r="L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7" s="3" t="str">
        <f>IF(AND(tblProducts[[#This Row],[Rating Category]]="Excellent",tblProducts[[#This Row],[Engagement Flag]]="High Engagement"),"Yes","No")</f>
        <v>No</v>
      </c>
      <c r="N7" s="3" t="str">
        <f>IF(AND(tblProducts[[#This Row],[Discount Category]]="High Discount",tblProducts[[#This Row],[Rating Category]]="Poor"),"Yes","No")</f>
        <v>Yes</v>
      </c>
      <c r="O7" s="3" t="str">
        <f>IF(AND(tblProducts[[#This Row],[Discount Category]]="High Discount",tblProducts[[#This Row],[Rating Category]]="Excellent"),"Yes","No")</f>
        <v>No</v>
      </c>
      <c r="P7" s="3" t="str">
        <f>IF(AND(tblProducts[[#This Row],[Rating Category]]="Poor",tblProducts[[#This Row],[Engagement Flag]]="Low Engagement"),"Yes","No")</f>
        <v>Yes</v>
      </c>
      <c r="Q7" t="s">
        <v>335</v>
      </c>
    </row>
    <row r="8" spans="1:17" x14ac:dyDescent="0.35">
      <c r="A8" t="s">
        <v>222</v>
      </c>
      <c r="B8" s="3">
        <v>345</v>
      </c>
      <c r="C8" s="3">
        <v>602</v>
      </c>
      <c r="D8" s="4">
        <v>0.43</v>
      </c>
      <c r="E8" s="5">
        <v>6</v>
      </c>
      <c r="F8" s="6">
        <v>2.2999999999999998</v>
      </c>
      <c r="G8" s="3">
        <f>tblProducts[[#This Row],[Old Price]]-tblProducts[[#This Row],[Current Price]]</f>
        <v>257</v>
      </c>
      <c r="H8" s="3" t="str">
        <f>IF(tblProducts[[#This Row],[Rating]]="","Missing",IF(tblProducts[[#This Row],[Rating]]&lt;3,"Poor",IF(tblProducts[[#This Row],[Rating]]&lt;=4.5,"Average","Excellent")))</f>
        <v>Poor</v>
      </c>
      <c r="I8" s="3" t="str">
        <f>IF(tblProducts[[#This Row],[Discount]]="","Missing",IF(tblProducts[[#This Row],[Discount]]&lt;=20%,"Low Discount",IF(tblProducts[[#This Row],[Discount]]&lt;=40%,"Medium Discount","High Discount")))</f>
        <v>High Discount</v>
      </c>
      <c r="J8" s="3" t="str">
        <f>IF(tblProducts[[#This Row],[Current Price]]&lt;=Price_Q1,"Low Price",IF(tblProducts[[#This Row],[Current Price]]&lt;=Price_Q3,"Medium Price","High Price"))</f>
        <v>Low Price</v>
      </c>
      <c r="K8" s="3" t="str">
        <f>IF(tblProducts[[#This Row],[Review]]="","Missing",IF(tblProducts[[#This Row],[Review]]&gt;=Review_P75,"High Engagement","Low Engagement"))</f>
        <v>Low Engagement</v>
      </c>
      <c r="L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8" s="3" t="str">
        <f>IF(AND(tblProducts[[#This Row],[Rating Category]]="Excellent",tblProducts[[#This Row],[Engagement Flag]]="High Engagement"),"Yes","No")</f>
        <v>No</v>
      </c>
      <c r="N8" s="3" t="str">
        <f>IF(AND(tblProducts[[#This Row],[Discount Category]]="High Discount",tblProducts[[#This Row],[Rating Category]]="Poor"),"Yes","No")</f>
        <v>Yes</v>
      </c>
      <c r="O8" s="3" t="str">
        <f>IF(AND(tblProducts[[#This Row],[Discount Category]]="High Discount",tblProducts[[#This Row],[Rating Category]]="Excellent"),"Yes","No")</f>
        <v>No</v>
      </c>
      <c r="P8" s="3" t="str">
        <f>IF(AND(tblProducts[[#This Row],[Rating Category]]="Poor",tblProducts[[#This Row],[Engagement Flag]]="Low Engagement"),"Yes","No")</f>
        <v>Yes</v>
      </c>
      <c r="Q8" t="s">
        <v>335</v>
      </c>
    </row>
    <row r="9" spans="1:17" x14ac:dyDescent="0.35">
      <c r="A9" t="s">
        <v>183</v>
      </c>
      <c r="B9" s="3">
        <v>2170</v>
      </c>
      <c r="C9" s="3">
        <v>2500</v>
      </c>
      <c r="D9" s="4">
        <v>0.13</v>
      </c>
      <c r="E9" s="5">
        <v>6</v>
      </c>
      <c r="F9" s="6">
        <v>2.5</v>
      </c>
      <c r="G9" s="3">
        <f>tblProducts[[#This Row],[Old Price]]-tblProducts[[#This Row],[Current Price]]</f>
        <v>330</v>
      </c>
      <c r="H9" s="3" t="str">
        <f>IF(tblProducts[[#This Row],[Rating]]="","Missing",IF(tblProducts[[#This Row],[Rating]]&lt;3,"Poor",IF(tblProducts[[#This Row],[Rating]]&lt;=4.5,"Average","Excellent")))</f>
        <v>Poor</v>
      </c>
      <c r="I9" s="3" t="str">
        <f>IF(tblProducts[[#This Row],[Discount]]="","Missing",IF(tblProducts[[#This Row],[Discount]]&lt;=20%,"Low Discount",IF(tblProducts[[#This Row],[Discount]]&lt;=40%,"Medium Discount","High Discount")))</f>
        <v>Low Discount</v>
      </c>
      <c r="J9" s="3" t="str">
        <f>IF(tblProducts[[#This Row],[Current Price]]&lt;=Price_Q1,"Low Price",IF(tblProducts[[#This Row],[Current Price]]&lt;=Price_Q3,"Medium Price","High Price"))</f>
        <v>High Price</v>
      </c>
      <c r="K9" s="3" t="str">
        <f>IF(tblProducts[[#This Row],[Review]]="","Missing",IF(tblProducts[[#This Row],[Review]]&gt;=Review_P75,"High Engagement","Low Engagement"))</f>
        <v>Low Engagement</v>
      </c>
      <c r="L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9" s="3" t="str">
        <f>IF(AND(tblProducts[[#This Row],[Rating Category]]="Excellent",tblProducts[[#This Row],[Engagement Flag]]="High Engagement"),"Yes","No")</f>
        <v>No</v>
      </c>
      <c r="N9" s="3" t="str">
        <f>IF(AND(tblProducts[[#This Row],[Discount Category]]="High Discount",tblProducts[[#This Row],[Rating Category]]="Poor"),"Yes","No")</f>
        <v>No</v>
      </c>
      <c r="O9" s="3" t="str">
        <f>IF(AND(tblProducts[[#This Row],[Discount Category]]="High Discount",tblProducts[[#This Row],[Rating Category]]="Excellent"),"Yes","No")</f>
        <v>No</v>
      </c>
      <c r="P9" s="3" t="str">
        <f>IF(AND(tblProducts[[#This Row],[Rating Category]]="Poor",tblProducts[[#This Row],[Engagement Flag]]="Low Engagement"),"Yes","No")</f>
        <v>Yes</v>
      </c>
      <c r="Q9" t="s">
        <v>335</v>
      </c>
    </row>
    <row r="10" spans="1:17" x14ac:dyDescent="0.35">
      <c r="A10" t="s">
        <v>216</v>
      </c>
      <c r="B10" s="3">
        <v>382</v>
      </c>
      <c r="C10" s="3">
        <v>700</v>
      </c>
      <c r="D10" s="4">
        <v>0.45</v>
      </c>
      <c r="E10" s="5">
        <v>17</v>
      </c>
      <c r="F10" s="6">
        <v>2.6</v>
      </c>
      <c r="G10" s="3">
        <f>tblProducts[[#This Row],[Old Price]]-tblProducts[[#This Row],[Current Price]]</f>
        <v>318</v>
      </c>
      <c r="H10" s="3" t="str">
        <f>IF(tblProducts[[#This Row],[Rating]]="","Missing",IF(tblProducts[[#This Row],[Rating]]&lt;3,"Poor",IF(tblProducts[[#This Row],[Rating]]&lt;=4.5,"Average","Excellent")))</f>
        <v>Poor</v>
      </c>
      <c r="I10" s="3" t="str">
        <f>IF(tblProducts[[#This Row],[Discount]]="","Missing",IF(tblProducts[[#This Row],[Discount]]&lt;=20%,"Low Discount",IF(tblProducts[[#This Row],[Discount]]&lt;=40%,"Medium Discount","High Discount")))</f>
        <v>High Discount</v>
      </c>
      <c r="J10" s="3" t="str">
        <f>IF(tblProducts[[#This Row],[Current Price]]&lt;=Price_Q1,"Low Price",IF(tblProducts[[#This Row],[Current Price]]&lt;=Price_Q3,"Medium Price","High Price"))</f>
        <v>Low Price</v>
      </c>
      <c r="K10" s="3" t="str">
        <f>IF(tblProducts[[#This Row],[Review]]="","Missing",IF(tblProducts[[#This Row],[Review]]&gt;=Review_P75,"High Engagement","Low Engagement"))</f>
        <v>High Engagement</v>
      </c>
      <c r="L1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10" s="3" t="str">
        <f>IF(AND(tblProducts[[#This Row],[Rating Category]]="Excellent",tblProducts[[#This Row],[Engagement Flag]]="High Engagement"),"Yes","No")</f>
        <v>No</v>
      </c>
      <c r="N10" s="3" t="str">
        <f>IF(AND(tblProducts[[#This Row],[Discount Category]]="High Discount",tblProducts[[#This Row],[Rating Category]]="Poor"),"Yes","No")</f>
        <v>Yes</v>
      </c>
      <c r="O10" s="3" t="str">
        <f>IF(AND(tblProducts[[#This Row],[Discount Category]]="High Discount",tblProducts[[#This Row],[Rating Category]]="Excellent"),"Yes","No")</f>
        <v>No</v>
      </c>
      <c r="P10" s="3" t="str">
        <f>IF(AND(tblProducts[[#This Row],[Rating Category]]="Poor",tblProducts[[#This Row],[Engagement Flag]]="Low Engagement"),"Yes","No")</f>
        <v>No</v>
      </c>
      <c r="Q10" t="s">
        <v>335</v>
      </c>
    </row>
    <row r="11" spans="1:17" x14ac:dyDescent="0.35">
      <c r="A11" t="s">
        <v>199</v>
      </c>
      <c r="B11" s="3">
        <v>325</v>
      </c>
      <c r="C11" s="3">
        <v>680</v>
      </c>
      <c r="D11" s="4">
        <v>0.52</v>
      </c>
      <c r="E11" s="5">
        <v>15</v>
      </c>
      <c r="F11" s="6">
        <v>2.7</v>
      </c>
      <c r="G11" s="3">
        <f>tblProducts[[#This Row],[Old Price]]-tblProducts[[#This Row],[Current Price]]</f>
        <v>355</v>
      </c>
      <c r="H11" s="3" t="str">
        <f>IF(tblProducts[[#This Row],[Rating]]="","Missing",IF(tblProducts[[#This Row],[Rating]]&lt;3,"Poor",IF(tblProducts[[#This Row],[Rating]]&lt;=4.5,"Average","Excellent")))</f>
        <v>Poor</v>
      </c>
      <c r="I11" s="3" t="str">
        <f>IF(tblProducts[[#This Row],[Discount]]="","Missing",IF(tblProducts[[#This Row],[Discount]]&lt;=20%,"Low Discount",IF(tblProducts[[#This Row],[Discount]]&lt;=40%,"Medium Discount","High Discount")))</f>
        <v>High Discount</v>
      </c>
      <c r="J11" s="3" t="str">
        <f>IF(tblProducts[[#This Row],[Current Price]]&lt;=Price_Q1,"Low Price",IF(tblProducts[[#This Row],[Current Price]]&lt;=Price_Q3,"Medium Price","High Price"))</f>
        <v>Low Price</v>
      </c>
      <c r="K11" s="3" t="str">
        <f>IF(tblProducts[[#This Row],[Review]]="","Missing",IF(tblProducts[[#This Row],[Review]]&gt;=Review_P75,"High Engagement","Low Engagement"))</f>
        <v>High Engagement</v>
      </c>
      <c r="L1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11" s="3" t="str">
        <f>IF(AND(tblProducts[[#This Row],[Rating Category]]="Excellent",tblProducts[[#This Row],[Engagement Flag]]="High Engagement"),"Yes","No")</f>
        <v>No</v>
      </c>
      <c r="N11" s="3" t="str">
        <f>IF(AND(tblProducts[[#This Row],[Discount Category]]="High Discount",tblProducts[[#This Row],[Rating Category]]="Poor"),"Yes","No")</f>
        <v>Yes</v>
      </c>
      <c r="O11" s="3" t="str">
        <f>IF(AND(tblProducts[[#This Row],[Discount Category]]="High Discount",tblProducts[[#This Row],[Rating Category]]="Excellent"),"Yes","No")</f>
        <v>No</v>
      </c>
      <c r="P11" s="3" t="str">
        <f>IF(AND(tblProducts[[#This Row],[Rating Category]]="Poor",tblProducts[[#This Row],[Engagement Flag]]="Low Engagement"),"Yes","No")</f>
        <v>No</v>
      </c>
      <c r="Q11" t="s">
        <v>335</v>
      </c>
    </row>
    <row r="12" spans="1:17" x14ac:dyDescent="0.35">
      <c r="A12" t="s">
        <v>195</v>
      </c>
      <c r="B12" s="3">
        <v>445</v>
      </c>
      <c r="C12" s="3">
        <v>873</v>
      </c>
      <c r="D12" s="4">
        <v>0.49</v>
      </c>
      <c r="E12" s="5">
        <v>69</v>
      </c>
      <c r="F12" s="6">
        <v>2.8</v>
      </c>
      <c r="G12" s="3">
        <f>tblProducts[[#This Row],[Old Price]]-tblProducts[[#This Row],[Current Price]]</f>
        <v>428</v>
      </c>
      <c r="H12" s="3" t="str">
        <f>IF(tblProducts[[#This Row],[Rating]]="","Missing",IF(tblProducts[[#This Row],[Rating]]&lt;3,"Poor",IF(tblProducts[[#This Row],[Rating]]&lt;=4.5,"Average","Excellent")))</f>
        <v>Poor</v>
      </c>
      <c r="I12" s="3" t="str">
        <f>IF(tblProducts[[#This Row],[Discount]]="","Missing",IF(tblProducts[[#This Row],[Discount]]&lt;=20%,"Low Discount",IF(tblProducts[[#This Row],[Discount]]&lt;=40%,"Medium Discount","High Discount")))</f>
        <v>High Discount</v>
      </c>
      <c r="J12" s="3" t="str">
        <f>IF(tblProducts[[#This Row],[Current Price]]&lt;=Price_Q1,"Low Price",IF(tblProducts[[#This Row],[Current Price]]&lt;=Price_Q3,"Medium Price","High Price"))</f>
        <v>Low Price</v>
      </c>
      <c r="K12" s="3" t="str">
        <f>IF(tblProducts[[#This Row],[Review]]="","Missing",IF(tblProducts[[#This Row],[Review]]&gt;=Review_P75,"High Engagement","Low Engagement"))</f>
        <v>High Engagement</v>
      </c>
      <c r="L1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Low Rating</v>
      </c>
      <c r="M12" s="3" t="str">
        <f>IF(AND(tblProducts[[#This Row],[Rating Category]]="Excellent",tblProducts[[#This Row],[Engagement Flag]]="High Engagement"),"Yes","No")</f>
        <v>No</v>
      </c>
      <c r="N12" s="3" t="str">
        <f>IF(AND(tblProducts[[#This Row],[Discount Category]]="High Discount",tblProducts[[#This Row],[Rating Category]]="Poor"),"Yes","No")</f>
        <v>Yes</v>
      </c>
      <c r="O12" s="3" t="str">
        <f>IF(AND(tblProducts[[#This Row],[Discount Category]]="High Discount",tblProducts[[#This Row],[Rating Category]]="Excellent"),"Yes","No")</f>
        <v>No</v>
      </c>
      <c r="P12" s="3" t="str">
        <f>IF(AND(tblProducts[[#This Row],[Rating Category]]="Poor",tblProducts[[#This Row],[Engagement Flag]]="Low Engagement"),"Yes","No")</f>
        <v>No</v>
      </c>
      <c r="Q12" t="s">
        <v>335</v>
      </c>
    </row>
    <row r="13" spans="1:17" x14ac:dyDescent="0.35">
      <c r="A13" t="s">
        <v>203</v>
      </c>
      <c r="B13" s="3">
        <v>1220</v>
      </c>
      <c r="C13" s="3">
        <v>1555</v>
      </c>
      <c r="D13" s="4">
        <v>0.22</v>
      </c>
      <c r="E13" s="5">
        <v>16</v>
      </c>
      <c r="F13" s="6">
        <v>2.9</v>
      </c>
      <c r="G13" s="3">
        <f>tblProducts[[#This Row],[Old Price]]-tblProducts[[#This Row],[Current Price]]</f>
        <v>335</v>
      </c>
      <c r="H13" s="3" t="str">
        <f>IF(tblProducts[[#This Row],[Rating]]="","Missing",IF(tblProducts[[#This Row],[Rating]]&lt;3,"Poor",IF(tblProducts[[#This Row],[Rating]]&lt;=4.5,"Average","Excellent")))</f>
        <v>Poor</v>
      </c>
      <c r="I13" s="3" t="str">
        <f>IF(tblProducts[[#This Row],[Discount]]="","Missing",IF(tblProducts[[#This Row],[Discount]]&lt;=20%,"Low Discount",IF(tblProducts[[#This Row],[Discount]]&lt;=40%,"Medium Discount","High Discount")))</f>
        <v>Medium Discount</v>
      </c>
      <c r="J13" s="3" t="str">
        <f>IF(tblProducts[[#This Row],[Current Price]]&lt;=Price_Q1,"Low Price",IF(tblProducts[[#This Row],[Current Price]]&lt;=Price_Q3,"Medium Price","High Price"))</f>
        <v>Medium Price</v>
      </c>
      <c r="K13" s="3" t="str">
        <f>IF(tblProducts[[#This Row],[Review]]="","Missing",IF(tblProducts[[#This Row],[Review]]&gt;=Review_P75,"High Engagement","Low Engagement"))</f>
        <v>High Engagement</v>
      </c>
      <c r="L1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3" s="3" t="str">
        <f>IF(AND(tblProducts[[#This Row],[Rating Category]]="Excellent",tblProducts[[#This Row],[Engagement Flag]]="High Engagement"),"Yes","No")</f>
        <v>No</v>
      </c>
      <c r="N13" s="3" t="str">
        <f>IF(AND(tblProducts[[#This Row],[Discount Category]]="High Discount",tblProducts[[#This Row],[Rating Category]]="Poor"),"Yes","No")</f>
        <v>No</v>
      </c>
      <c r="O13" s="3" t="str">
        <f>IF(AND(tblProducts[[#This Row],[Discount Category]]="High Discount",tblProducts[[#This Row],[Rating Category]]="Excellent"),"Yes","No")</f>
        <v>No</v>
      </c>
      <c r="P13" s="3" t="str">
        <f>IF(AND(tblProducts[[#This Row],[Rating Category]]="Poor",tblProducts[[#This Row],[Engagement Flag]]="Low Engagement"),"Yes","No")</f>
        <v>No</v>
      </c>
      <c r="Q13" t="s">
        <v>335</v>
      </c>
    </row>
    <row r="14" spans="1:17" x14ac:dyDescent="0.35">
      <c r="A14" t="s">
        <v>187</v>
      </c>
      <c r="B14" s="3">
        <v>458</v>
      </c>
      <c r="C14" s="3">
        <v>986</v>
      </c>
      <c r="D14" s="4">
        <v>0.54</v>
      </c>
      <c r="E14" s="5">
        <v>10</v>
      </c>
      <c r="F14" s="6">
        <v>3</v>
      </c>
      <c r="G14" s="3">
        <f>tblProducts[[#This Row],[Old Price]]-tblProducts[[#This Row],[Current Price]]</f>
        <v>528</v>
      </c>
      <c r="H14" s="3" t="str">
        <f>IF(tblProducts[[#This Row],[Rating]]="","Missing",IF(tblProducts[[#This Row],[Rating]]&lt;3,"Poor",IF(tblProducts[[#This Row],[Rating]]&lt;=4.5,"Average","Excellent")))</f>
        <v>Average</v>
      </c>
      <c r="I14" s="3" t="str">
        <f>IF(tblProducts[[#This Row],[Discount]]="","Missing",IF(tblProducts[[#This Row],[Discount]]&lt;=20%,"Low Discount",IF(tblProducts[[#This Row],[Discount]]&lt;=40%,"Medium Discount","High Discount")))</f>
        <v>High Discount</v>
      </c>
      <c r="J14" s="3" t="str">
        <f>IF(tblProducts[[#This Row],[Current Price]]&lt;=Price_Q1,"Low Price",IF(tblProducts[[#This Row],[Current Price]]&lt;=Price_Q3,"Medium Price","High Price"))</f>
        <v>Low Price</v>
      </c>
      <c r="K14" s="3" t="str">
        <f>IF(tblProducts[[#This Row],[Review]]="","Missing",IF(tblProducts[[#This Row],[Review]]&gt;=Review_P75,"High Engagement","Low Engagement"))</f>
        <v>Low Engagement</v>
      </c>
      <c r="L1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4" s="3" t="str">
        <f>IF(AND(tblProducts[[#This Row],[Rating Category]]="Excellent",tblProducts[[#This Row],[Engagement Flag]]="High Engagement"),"Yes","No")</f>
        <v>No</v>
      </c>
      <c r="N14" s="3" t="str">
        <f>IF(AND(tblProducts[[#This Row],[Discount Category]]="High Discount",tblProducts[[#This Row],[Rating Category]]="Poor"),"Yes","No")</f>
        <v>No</v>
      </c>
      <c r="O14" s="3" t="str">
        <f>IF(AND(tblProducts[[#This Row],[Discount Category]]="High Discount",tblProducts[[#This Row],[Rating Category]]="Excellent"),"Yes","No")</f>
        <v>No</v>
      </c>
      <c r="P14" s="3" t="str">
        <f>IF(AND(tblProducts[[#This Row],[Rating Category]]="Poor",tblProducts[[#This Row],[Engagement Flag]]="Low Engagement"),"Yes","No")</f>
        <v>No</v>
      </c>
      <c r="Q14" t="s">
        <v>335</v>
      </c>
    </row>
    <row r="15" spans="1:17" x14ac:dyDescent="0.35">
      <c r="A15" t="s">
        <v>213</v>
      </c>
      <c r="B15" s="3">
        <v>3750</v>
      </c>
      <c r="C15" s="3">
        <v>6143</v>
      </c>
      <c r="D15" s="4">
        <v>0.39</v>
      </c>
      <c r="E15" s="5">
        <v>5</v>
      </c>
      <c r="F15" s="6">
        <v>3</v>
      </c>
      <c r="G15" s="3">
        <f>tblProducts[[#This Row],[Old Price]]-tblProducts[[#This Row],[Current Price]]</f>
        <v>2393</v>
      </c>
      <c r="H15" s="3" t="str">
        <f>IF(tblProducts[[#This Row],[Rating]]="","Missing",IF(tblProducts[[#This Row],[Rating]]&lt;3,"Poor",IF(tblProducts[[#This Row],[Rating]]&lt;=4.5,"Average","Excellent")))</f>
        <v>Average</v>
      </c>
      <c r="I15" s="3" t="str">
        <f>IF(tblProducts[[#This Row],[Discount]]="","Missing",IF(tblProducts[[#This Row],[Discount]]&lt;=20%,"Low Discount",IF(tblProducts[[#This Row],[Discount]]&lt;=40%,"Medium Discount","High Discount")))</f>
        <v>Medium Discount</v>
      </c>
      <c r="J15" s="3" t="str">
        <f>IF(tblProducts[[#This Row],[Current Price]]&lt;=Price_Q1,"Low Price",IF(tblProducts[[#This Row],[Current Price]]&lt;=Price_Q3,"Medium Price","High Price"))</f>
        <v>High Price</v>
      </c>
      <c r="K15" s="3" t="str">
        <f>IF(tblProducts[[#This Row],[Review]]="","Missing",IF(tblProducts[[#This Row],[Review]]&gt;=Review_P75,"High Engagement","Low Engagement"))</f>
        <v>Low Engagement</v>
      </c>
      <c r="L1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5" s="3" t="str">
        <f>IF(AND(tblProducts[[#This Row],[Rating Category]]="Excellent",tblProducts[[#This Row],[Engagement Flag]]="High Engagement"),"Yes","No")</f>
        <v>No</v>
      </c>
      <c r="N15" s="3" t="str">
        <f>IF(AND(tblProducts[[#This Row],[Discount Category]]="High Discount",tblProducts[[#This Row],[Rating Category]]="Poor"),"Yes","No")</f>
        <v>No</v>
      </c>
      <c r="O15" s="3" t="str">
        <f>IF(AND(tblProducts[[#This Row],[Discount Category]]="High Discount",tblProducts[[#This Row],[Rating Category]]="Excellent"),"Yes","No")</f>
        <v>No</v>
      </c>
      <c r="P15" s="3" t="str">
        <f>IF(AND(tblProducts[[#This Row],[Rating Category]]="Poor",tblProducts[[#This Row],[Engagement Flag]]="Low Engagement"),"Yes","No")</f>
        <v>No</v>
      </c>
      <c r="Q15" t="s">
        <v>335</v>
      </c>
    </row>
    <row r="16" spans="1:17" x14ac:dyDescent="0.35">
      <c r="A16" t="s">
        <v>219</v>
      </c>
      <c r="B16" s="3">
        <v>2300</v>
      </c>
      <c r="C16" s="3">
        <v>3240</v>
      </c>
      <c r="D16" s="4">
        <v>0.28999999999999998</v>
      </c>
      <c r="E16" s="5">
        <v>5</v>
      </c>
      <c r="F16" s="6">
        <v>3</v>
      </c>
      <c r="G16" s="3">
        <f>tblProducts[[#This Row],[Old Price]]-tblProducts[[#This Row],[Current Price]]</f>
        <v>940</v>
      </c>
      <c r="H16" s="3" t="str">
        <f>IF(tblProducts[[#This Row],[Rating]]="","Missing",IF(tblProducts[[#This Row],[Rating]]&lt;3,"Poor",IF(tblProducts[[#This Row],[Rating]]&lt;=4.5,"Average","Excellent")))</f>
        <v>Average</v>
      </c>
      <c r="I16" s="3" t="str">
        <f>IF(tblProducts[[#This Row],[Discount]]="","Missing",IF(tblProducts[[#This Row],[Discount]]&lt;=20%,"Low Discount",IF(tblProducts[[#This Row],[Discount]]&lt;=40%,"Medium Discount","High Discount")))</f>
        <v>Medium Discount</v>
      </c>
      <c r="J16" s="3" t="str">
        <f>IF(tblProducts[[#This Row],[Current Price]]&lt;=Price_Q1,"Low Price",IF(tblProducts[[#This Row],[Current Price]]&lt;=Price_Q3,"Medium Price","High Price"))</f>
        <v>High Price</v>
      </c>
      <c r="K16" s="3" t="str">
        <f>IF(tblProducts[[#This Row],[Review]]="","Missing",IF(tblProducts[[#This Row],[Review]]&gt;=Review_P75,"High Engagement","Low Engagement"))</f>
        <v>Low Engagement</v>
      </c>
      <c r="L1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6" s="3" t="str">
        <f>IF(AND(tblProducts[[#This Row],[Rating Category]]="Excellent",tblProducts[[#This Row],[Engagement Flag]]="High Engagement"),"Yes","No")</f>
        <v>No</v>
      </c>
      <c r="N16" s="3" t="str">
        <f>IF(AND(tblProducts[[#This Row],[Discount Category]]="High Discount",tblProducts[[#This Row],[Rating Category]]="Poor"),"Yes","No")</f>
        <v>No</v>
      </c>
      <c r="O16" s="3" t="str">
        <f>IF(AND(tblProducts[[#This Row],[Discount Category]]="High Discount",tblProducts[[#This Row],[Rating Category]]="Excellent"),"Yes","No")</f>
        <v>No</v>
      </c>
      <c r="P16" s="3" t="str">
        <f>IF(AND(tblProducts[[#This Row],[Rating Category]]="Poor",tblProducts[[#This Row],[Engagement Flag]]="Low Engagement"),"Yes","No")</f>
        <v>No</v>
      </c>
      <c r="Q16" t="s">
        <v>335</v>
      </c>
    </row>
    <row r="17" spans="1:17" x14ac:dyDescent="0.35">
      <c r="A17" t="s">
        <v>225</v>
      </c>
      <c r="B17" s="3">
        <v>509</v>
      </c>
      <c r="C17" s="3">
        <v>899</v>
      </c>
      <c r="D17" s="4">
        <v>0.43</v>
      </c>
      <c r="E17" s="5">
        <v>5</v>
      </c>
      <c r="F17" s="6">
        <v>3</v>
      </c>
      <c r="G17" s="3">
        <f>tblProducts[[#This Row],[Old Price]]-tblProducts[[#This Row],[Current Price]]</f>
        <v>390</v>
      </c>
      <c r="H17" s="3" t="str">
        <f>IF(tblProducts[[#This Row],[Rating]]="","Missing",IF(tblProducts[[#This Row],[Rating]]&lt;3,"Poor",IF(tblProducts[[#This Row],[Rating]]&lt;=4.5,"Average","Excellent")))</f>
        <v>Average</v>
      </c>
      <c r="I17" s="3" t="str">
        <f>IF(tblProducts[[#This Row],[Discount]]="","Missing",IF(tblProducts[[#This Row],[Discount]]&lt;=20%,"Low Discount",IF(tblProducts[[#This Row],[Discount]]&lt;=40%,"Medium Discount","High Discount")))</f>
        <v>High Discount</v>
      </c>
      <c r="J17" s="3" t="str">
        <f>IF(tblProducts[[#This Row],[Current Price]]&lt;=Price_Q1,"Low Price",IF(tblProducts[[#This Row],[Current Price]]&lt;=Price_Q3,"Medium Price","High Price"))</f>
        <v>Medium Price</v>
      </c>
      <c r="K17" s="3" t="str">
        <f>IF(tblProducts[[#This Row],[Review]]="","Missing",IF(tblProducts[[#This Row],[Review]]&gt;=Review_P75,"High Engagement","Low Engagement"))</f>
        <v>Low Engagement</v>
      </c>
      <c r="L1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7" s="3" t="str">
        <f>IF(AND(tblProducts[[#This Row],[Rating Category]]="Excellent",tblProducts[[#This Row],[Engagement Flag]]="High Engagement"),"Yes","No")</f>
        <v>No</v>
      </c>
      <c r="N17" s="3" t="str">
        <f>IF(AND(tblProducts[[#This Row],[Discount Category]]="High Discount",tblProducts[[#This Row],[Rating Category]]="Poor"),"Yes","No")</f>
        <v>No</v>
      </c>
      <c r="O17" s="3" t="str">
        <f>IF(AND(tblProducts[[#This Row],[Discount Category]]="High Discount",tblProducts[[#This Row],[Rating Category]]="Excellent"),"Yes","No")</f>
        <v>No</v>
      </c>
      <c r="P17" s="3" t="str">
        <f>IF(AND(tblProducts[[#This Row],[Rating Category]]="Poor",tblProducts[[#This Row],[Engagement Flag]]="Low Engagement"),"Yes","No")</f>
        <v>No</v>
      </c>
      <c r="Q17" t="s">
        <v>335</v>
      </c>
    </row>
    <row r="18" spans="1:17" x14ac:dyDescent="0.35">
      <c r="A18" t="s">
        <v>244</v>
      </c>
      <c r="B18" s="3">
        <v>1189</v>
      </c>
      <c r="C18" s="3">
        <v>2199</v>
      </c>
      <c r="D18" s="4">
        <v>0.46</v>
      </c>
      <c r="E18" s="5">
        <v>1</v>
      </c>
      <c r="F18" s="6">
        <v>3</v>
      </c>
      <c r="G18" s="3">
        <f>tblProducts[[#This Row],[Old Price]]-tblProducts[[#This Row],[Current Price]]</f>
        <v>1010</v>
      </c>
      <c r="H18" s="3" t="str">
        <f>IF(tblProducts[[#This Row],[Rating]]="","Missing",IF(tblProducts[[#This Row],[Rating]]&lt;3,"Poor",IF(tblProducts[[#This Row],[Rating]]&lt;=4.5,"Average","Excellent")))</f>
        <v>Average</v>
      </c>
      <c r="I18" s="3" t="str">
        <f>IF(tblProducts[[#This Row],[Discount]]="","Missing",IF(tblProducts[[#This Row],[Discount]]&lt;=20%,"Low Discount",IF(tblProducts[[#This Row],[Discount]]&lt;=40%,"Medium Discount","High Discount")))</f>
        <v>High Discount</v>
      </c>
      <c r="J18" s="3" t="str">
        <f>IF(tblProducts[[#This Row],[Current Price]]&lt;=Price_Q1,"Low Price",IF(tblProducts[[#This Row],[Current Price]]&lt;=Price_Q3,"Medium Price","High Price"))</f>
        <v>Medium Price</v>
      </c>
      <c r="K18" s="3" t="str">
        <f>IF(tblProducts[[#This Row],[Review]]="","Missing",IF(tblProducts[[#This Row],[Review]]&gt;=Review_P75,"High Engagement","Low Engagement"))</f>
        <v>Low Engagement</v>
      </c>
      <c r="L1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8" s="3" t="str">
        <f>IF(AND(tblProducts[[#This Row],[Rating Category]]="Excellent",tblProducts[[#This Row],[Engagement Flag]]="High Engagement"),"Yes","No")</f>
        <v>No</v>
      </c>
      <c r="N18" s="3" t="str">
        <f>IF(AND(tblProducts[[#This Row],[Discount Category]]="High Discount",tblProducts[[#This Row],[Rating Category]]="Poor"),"Yes","No")</f>
        <v>No</v>
      </c>
      <c r="O18" s="3" t="str">
        <f>IF(AND(tblProducts[[#This Row],[Discount Category]]="High Discount",tblProducts[[#This Row],[Rating Category]]="Excellent"),"Yes","No")</f>
        <v>No</v>
      </c>
      <c r="P18" s="3" t="str">
        <f>IF(AND(tblProducts[[#This Row],[Rating Category]]="Poor",tblProducts[[#This Row],[Engagement Flag]]="Low Engagement"),"Yes","No")</f>
        <v>No</v>
      </c>
      <c r="Q18" t="s">
        <v>335</v>
      </c>
    </row>
    <row r="19" spans="1:17" x14ac:dyDescent="0.35">
      <c r="A19" t="s">
        <v>71</v>
      </c>
      <c r="B19" s="3">
        <v>38</v>
      </c>
      <c r="C19" s="3">
        <v>80</v>
      </c>
      <c r="D19" s="4">
        <v>0.53</v>
      </c>
      <c r="E19" s="5">
        <v>13</v>
      </c>
      <c r="F19" s="6">
        <v>3.3</v>
      </c>
      <c r="G19" s="3">
        <f>tblProducts[[#This Row],[Old Price]]-tblProducts[[#This Row],[Current Price]]</f>
        <v>42</v>
      </c>
      <c r="H19" s="3" t="str">
        <f>IF(tblProducts[[#This Row],[Rating]]="","Missing",IF(tblProducts[[#This Row],[Rating]]&lt;3,"Poor",IF(tblProducts[[#This Row],[Rating]]&lt;=4.5,"Average","Excellent")))</f>
        <v>Average</v>
      </c>
      <c r="I19" s="3" t="str">
        <f>IF(tblProducts[[#This Row],[Discount]]="","Missing",IF(tblProducts[[#This Row],[Discount]]&lt;=20%,"Low Discount",IF(tblProducts[[#This Row],[Discount]]&lt;=40%,"Medium Discount","High Discount")))</f>
        <v>High Discount</v>
      </c>
      <c r="J19" s="3" t="str">
        <f>IF(tblProducts[[#This Row],[Current Price]]&lt;=Price_Q1,"Low Price",IF(tblProducts[[#This Row],[Current Price]]&lt;=Price_Q3,"Medium Price","High Price"))</f>
        <v>Low Price</v>
      </c>
      <c r="K19" s="3" t="str">
        <f>IF(tblProducts[[#This Row],[Review]]="","Missing",IF(tblProducts[[#This Row],[Review]]&gt;=Review_P75,"High Engagement","Low Engagement"))</f>
        <v>Low Engagement</v>
      </c>
      <c r="L1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9" s="3" t="str">
        <f>IF(AND(tblProducts[[#This Row],[Rating Category]]="Excellent",tblProducts[[#This Row],[Engagement Flag]]="High Engagement"),"Yes","No")</f>
        <v>No</v>
      </c>
      <c r="N19" s="3" t="str">
        <f>IF(AND(tblProducts[[#This Row],[Discount Category]]="High Discount",tblProducts[[#This Row],[Rating Category]]="Poor"),"Yes","No")</f>
        <v>No</v>
      </c>
      <c r="O19" s="3" t="str">
        <f>IF(AND(tblProducts[[#This Row],[Discount Category]]="High Discount",tblProducts[[#This Row],[Rating Category]]="Excellent"),"Yes","No")</f>
        <v>No</v>
      </c>
      <c r="P19" s="3" t="str">
        <f>IF(AND(tblProducts[[#This Row],[Rating Category]]="Poor",tblProducts[[#This Row],[Engagement Flag]]="Low Engagement"),"Yes","No")</f>
        <v>No</v>
      </c>
      <c r="Q19" t="s">
        <v>335</v>
      </c>
    </row>
    <row r="20" spans="1:17" x14ac:dyDescent="0.35">
      <c r="A20" t="s">
        <v>38</v>
      </c>
      <c r="B20" s="3">
        <v>1600</v>
      </c>
      <c r="C20" s="3">
        <v>2929</v>
      </c>
      <c r="D20" s="4">
        <v>0.45</v>
      </c>
      <c r="E20" s="5">
        <v>5</v>
      </c>
      <c r="F20" s="6">
        <v>3.8</v>
      </c>
      <c r="G20" s="3">
        <f>tblProducts[[#This Row],[Old Price]]-tblProducts[[#This Row],[Current Price]]</f>
        <v>1329</v>
      </c>
      <c r="H20" s="3" t="str">
        <f>IF(tblProducts[[#This Row],[Rating]]="","Missing",IF(tblProducts[[#This Row],[Rating]]&lt;3,"Poor",IF(tblProducts[[#This Row],[Rating]]&lt;=4.5,"Average","Excellent")))</f>
        <v>Average</v>
      </c>
      <c r="I20" s="3" t="str">
        <f>IF(tblProducts[[#This Row],[Discount]]="","Missing",IF(tblProducts[[#This Row],[Discount]]&lt;=20%,"Low Discount",IF(tblProducts[[#This Row],[Discount]]&lt;=40%,"Medium Discount","High Discount")))</f>
        <v>High Discount</v>
      </c>
      <c r="J20" s="3" t="str">
        <f>IF(tblProducts[[#This Row],[Current Price]]&lt;=Price_Q1,"Low Price",IF(tblProducts[[#This Row],[Current Price]]&lt;=Price_Q3,"Medium Price","High Price"))</f>
        <v>Medium Price</v>
      </c>
      <c r="K20" s="3" t="str">
        <f>IF(tblProducts[[#This Row],[Review]]="","Missing",IF(tblProducts[[#This Row],[Review]]&gt;=Review_P75,"High Engagement","Low Engagement"))</f>
        <v>Low Engagement</v>
      </c>
      <c r="L2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0" s="3" t="str">
        <f>IF(AND(tblProducts[[#This Row],[Rating Category]]="Excellent",tblProducts[[#This Row],[Engagement Flag]]="High Engagement"),"Yes","No")</f>
        <v>No</v>
      </c>
      <c r="N20" s="3" t="str">
        <f>IF(AND(tblProducts[[#This Row],[Discount Category]]="High Discount",tblProducts[[#This Row],[Rating Category]]="Poor"),"Yes","No")</f>
        <v>No</v>
      </c>
      <c r="O20" s="3" t="str">
        <f>IF(AND(tblProducts[[#This Row],[Discount Category]]="High Discount",tblProducts[[#This Row],[Rating Category]]="Excellent"),"Yes","No")</f>
        <v>No</v>
      </c>
      <c r="P20" s="3" t="str">
        <f>IF(AND(tblProducts[[#This Row],[Rating Category]]="Poor",tblProducts[[#This Row],[Engagement Flag]]="Low Engagement"),"Yes","No")</f>
        <v>No</v>
      </c>
      <c r="Q20" t="s">
        <v>335</v>
      </c>
    </row>
    <row r="21" spans="1:17" x14ac:dyDescent="0.35">
      <c r="A21" t="s">
        <v>93</v>
      </c>
      <c r="B21" s="3">
        <v>2880</v>
      </c>
      <c r="C21" s="3">
        <v>3520</v>
      </c>
      <c r="D21" s="4">
        <v>0.18</v>
      </c>
      <c r="E21" s="5">
        <v>12</v>
      </c>
      <c r="F21" s="6">
        <v>3.8</v>
      </c>
      <c r="G21" s="3">
        <f>tblProducts[[#This Row],[Old Price]]-tblProducts[[#This Row],[Current Price]]</f>
        <v>640</v>
      </c>
      <c r="H21" s="3" t="str">
        <f>IF(tblProducts[[#This Row],[Rating]]="","Missing",IF(tblProducts[[#This Row],[Rating]]&lt;3,"Poor",IF(tblProducts[[#This Row],[Rating]]&lt;=4.5,"Average","Excellent")))</f>
        <v>Average</v>
      </c>
      <c r="I21" s="3" t="str">
        <f>IF(tblProducts[[#This Row],[Discount]]="","Missing",IF(tblProducts[[#This Row],[Discount]]&lt;=20%,"Low Discount",IF(tblProducts[[#This Row],[Discount]]&lt;=40%,"Medium Discount","High Discount")))</f>
        <v>Low Discount</v>
      </c>
      <c r="J21" s="3" t="str">
        <f>IF(tblProducts[[#This Row],[Current Price]]&lt;=Price_Q1,"Low Price",IF(tblProducts[[#This Row],[Current Price]]&lt;=Price_Q3,"Medium Price","High Price"))</f>
        <v>High Price</v>
      </c>
      <c r="K21" s="3" t="str">
        <f>IF(tblProducts[[#This Row],[Review]]="","Missing",IF(tblProducts[[#This Row],[Review]]&gt;=Review_P75,"High Engagement","Low Engagement"))</f>
        <v>Low Engagement</v>
      </c>
      <c r="L2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1" s="3" t="str">
        <f>IF(AND(tblProducts[[#This Row],[Rating Category]]="Excellent",tblProducts[[#This Row],[Engagement Flag]]="High Engagement"),"Yes","No")</f>
        <v>No</v>
      </c>
      <c r="N21" s="3" t="str">
        <f>IF(AND(tblProducts[[#This Row],[Discount Category]]="High Discount",tblProducts[[#This Row],[Rating Category]]="Poor"),"Yes","No")</f>
        <v>No</v>
      </c>
      <c r="O21" s="3" t="str">
        <f>IF(AND(tblProducts[[#This Row],[Discount Category]]="High Discount",tblProducts[[#This Row],[Rating Category]]="Excellent"),"Yes","No")</f>
        <v>No</v>
      </c>
      <c r="P21" s="3" t="str">
        <f>IF(AND(tblProducts[[#This Row],[Rating Category]]="Poor",tblProducts[[#This Row],[Engagement Flag]]="Low Engagement"),"Yes","No")</f>
        <v>No</v>
      </c>
      <c r="Q21" t="s">
        <v>335</v>
      </c>
    </row>
    <row r="22" spans="1:17" x14ac:dyDescent="0.35">
      <c r="A22" t="s">
        <v>96</v>
      </c>
      <c r="B22" s="3">
        <v>1350</v>
      </c>
      <c r="C22" s="3">
        <v>1990</v>
      </c>
      <c r="D22" s="4">
        <v>0.32</v>
      </c>
      <c r="E22" s="5">
        <v>13</v>
      </c>
      <c r="F22" s="6">
        <v>3.8</v>
      </c>
      <c r="G22" s="3">
        <f>tblProducts[[#This Row],[Old Price]]-tblProducts[[#This Row],[Current Price]]</f>
        <v>640</v>
      </c>
      <c r="H22" s="3" t="str">
        <f>IF(tblProducts[[#This Row],[Rating]]="","Missing",IF(tblProducts[[#This Row],[Rating]]&lt;3,"Poor",IF(tblProducts[[#This Row],[Rating]]&lt;=4.5,"Average","Excellent")))</f>
        <v>Average</v>
      </c>
      <c r="I22" s="3" t="str">
        <f>IF(tblProducts[[#This Row],[Discount]]="","Missing",IF(tblProducts[[#This Row],[Discount]]&lt;=20%,"Low Discount",IF(tblProducts[[#This Row],[Discount]]&lt;=40%,"Medium Discount","High Discount")))</f>
        <v>Medium Discount</v>
      </c>
      <c r="J22" s="3" t="str">
        <f>IF(tblProducts[[#This Row],[Current Price]]&lt;=Price_Q1,"Low Price",IF(tblProducts[[#This Row],[Current Price]]&lt;=Price_Q3,"Medium Price","High Price"))</f>
        <v>Medium Price</v>
      </c>
      <c r="K22" s="3" t="str">
        <f>IF(tblProducts[[#This Row],[Review]]="","Missing",IF(tblProducts[[#This Row],[Review]]&gt;=Review_P75,"High Engagement","Low Engagement"))</f>
        <v>Low Engagement</v>
      </c>
      <c r="L2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2" s="3" t="str">
        <f>IF(AND(tblProducts[[#This Row],[Rating Category]]="Excellent",tblProducts[[#This Row],[Engagement Flag]]="High Engagement"),"Yes","No")</f>
        <v>No</v>
      </c>
      <c r="N22" s="3" t="str">
        <f>IF(AND(tblProducts[[#This Row],[Discount Category]]="High Discount",tblProducts[[#This Row],[Rating Category]]="Poor"),"Yes","No")</f>
        <v>No</v>
      </c>
      <c r="O22" s="3" t="str">
        <f>IF(AND(tblProducts[[#This Row],[Discount Category]]="High Discount",tblProducts[[#This Row],[Rating Category]]="Excellent"),"Yes","No")</f>
        <v>No</v>
      </c>
      <c r="P22" s="3" t="str">
        <f>IF(AND(tblProducts[[#This Row],[Rating Category]]="Poor",tblProducts[[#This Row],[Engagement Flag]]="Low Engagement"),"Yes","No")</f>
        <v>No</v>
      </c>
      <c r="Q22" t="s">
        <v>335</v>
      </c>
    </row>
    <row r="23" spans="1:17" x14ac:dyDescent="0.35">
      <c r="A23" t="s">
        <v>75</v>
      </c>
      <c r="B23" s="3">
        <v>1860</v>
      </c>
      <c r="C23" s="3">
        <v>3220</v>
      </c>
      <c r="D23" s="4">
        <v>0.42</v>
      </c>
      <c r="E23" s="5"/>
      <c r="F23" s="6"/>
      <c r="G23" s="3">
        <f>tblProducts[[#This Row],[Old Price]]-tblProducts[[#This Row],[Current Price]]</f>
        <v>1360</v>
      </c>
      <c r="H23" s="3" t="str">
        <f>IF(tblProducts[[#This Row],[Rating]]="","Missing",IF(tblProducts[[#This Row],[Rating]]&lt;3,"Poor",IF(tblProducts[[#This Row],[Rating]]&lt;=4.5,"Average","Excellent")))</f>
        <v>Missing</v>
      </c>
      <c r="I23" s="3" t="str">
        <f>IF(tblProducts[[#This Row],[Discount]]="","Missing",IF(tblProducts[[#This Row],[Discount]]&lt;=20%,"Low Discount",IF(tblProducts[[#This Row],[Discount]]&lt;=40%,"Medium Discount","High Discount")))</f>
        <v>High Discount</v>
      </c>
      <c r="J23" s="3" t="str">
        <f>IF(tblProducts[[#This Row],[Current Price]]&lt;=Price_Q1,"Low Price",IF(tblProducts[[#This Row],[Current Price]]&lt;=Price_Q3,"Medium Price","High Price"))</f>
        <v>High Price</v>
      </c>
      <c r="K23" s="3" t="str">
        <f>IF(tblProducts[[#This Row],[Review]]="","Missing",IF(tblProducts[[#This Row],[Review]]&gt;=Review_P75,"High Engagement","Low Engagement"))</f>
        <v>Missing</v>
      </c>
      <c r="L2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23" s="3" t="str">
        <f>IF(AND(tblProducts[[#This Row],[Rating Category]]="Excellent",tblProducts[[#This Row],[Engagement Flag]]="High Engagement"),"Yes","No")</f>
        <v>No</v>
      </c>
      <c r="N23" s="3" t="str">
        <f>IF(AND(tblProducts[[#This Row],[Discount Category]]="High Discount",tblProducts[[#This Row],[Rating Category]]="Poor"),"Yes","No")</f>
        <v>No</v>
      </c>
      <c r="O23" s="3" t="str">
        <f>IF(AND(tblProducts[[#This Row],[Discount Category]]="High Discount",tblProducts[[#This Row],[Rating Category]]="Excellent"),"Yes","No")</f>
        <v>No</v>
      </c>
      <c r="P23" s="3" t="str">
        <f>IF(AND(tblProducts[[#This Row],[Rating Category]]="Poor",tblProducts[[#This Row],[Engagement Flag]]="Low Engagement"),"Yes","No")</f>
        <v>No</v>
      </c>
      <c r="Q23" t="s">
        <v>334</v>
      </c>
    </row>
    <row r="24" spans="1:17" x14ac:dyDescent="0.35">
      <c r="A24" t="s">
        <v>26</v>
      </c>
      <c r="B24" s="3">
        <v>2999</v>
      </c>
      <c r="C24" s="3">
        <v>3290</v>
      </c>
      <c r="D24" s="4">
        <v>0.09</v>
      </c>
      <c r="E24" s="5">
        <v>15</v>
      </c>
      <c r="F24" s="6">
        <v>4</v>
      </c>
      <c r="G24" s="3">
        <f>tblProducts[[#This Row],[Old Price]]-tblProducts[[#This Row],[Current Price]]</f>
        <v>291</v>
      </c>
      <c r="H24" s="3" t="str">
        <f>IF(tblProducts[[#This Row],[Rating]]="","Missing",IF(tblProducts[[#This Row],[Rating]]&lt;3,"Poor",IF(tblProducts[[#This Row],[Rating]]&lt;=4.5,"Average","Excellent")))</f>
        <v>Average</v>
      </c>
      <c r="I24" s="3" t="str">
        <f>IF(tblProducts[[#This Row],[Discount]]="","Missing",IF(tblProducts[[#This Row],[Discount]]&lt;=20%,"Low Discount",IF(tblProducts[[#This Row],[Discount]]&lt;=40%,"Medium Discount","High Discount")))</f>
        <v>Low Discount</v>
      </c>
      <c r="J24" s="3" t="str">
        <f>IF(tblProducts[[#This Row],[Current Price]]&lt;=Price_Q1,"Low Price",IF(tblProducts[[#This Row],[Current Price]]&lt;=Price_Q3,"Medium Price","High Price"))</f>
        <v>High Price</v>
      </c>
      <c r="K24" s="3" t="str">
        <f>IF(tblProducts[[#This Row],[Review]]="","Missing",IF(tblProducts[[#This Row],[Review]]&gt;=Review_P75,"High Engagement","Low Engagement"))</f>
        <v>High Engagement</v>
      </c>
      <c r="L2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4" s="3" t="str">
        <f>IF(AND(tblProducts[[#This Row],[Rating Category]]="Excellent",tblProducts[[#This Row],[Engagement Flag]]="High Engagement"),"Yes","No")</f>
        <v>No</v>
      </c>
      <c r="N24" s="3" t="str">
        <f>IF(AND(tblProducts[[#This Row],[Discount Category]]="High Discount",tblProducts[[#This Row],[Rating Category]]="Poor"),"Yes","No")</f>
        <v>No</v>
      </c>
      <c r="O24" s="3" t="str">
        <f>IF(AND(tblProducts[[#This Row],[Discount Category]]="High Discount",tblProducts[[#This Row],[Rating Category]]="Excellent"),"Yes","No")</f>
        <v>No</v>
      </c>
      <c r="P24" s="3" t="str">
        <f>IF(AND(tblProducts[[#This Row],[Rating Category]]="Poor",tblProducts[[#This Row],[Engagement Flag]]="Low Engagement"),"Yes","No")</f>
        <v>No</v>
      </c>
      <c r="Q24" t="s">
        <v>335</v>
      </c>
    </row>
    <row r="25" spans="1:17" x14ac:dyDescent="0.35">
      <c r="A25" t="s">
        <v>33</v>
      </c>
      <c r="B25" s="3">
        <v>988</v>
      </c>
      <c r="C25" s="3">
        <v>1580</v>
      </c>
      <c r="D25" s="4">
        <v>0.37</v>
      </c>
      <c r="E25" s="5">
        <v>2</v>
      </c>
      <c r="F25" s="6">
        <v>4</v>
      </c>
      <c r="G25" s="3">
        <f>tblProducts[[#This Row],[Old Price]]-tblProducts[[#This Row],[Current Price]]</f>
        <v>592</v>
      </c>
      <c r="H25" s="3" t="str">
        <f>IF(tblProducts[[#This Row],[Rating]]="","Missing",IF(tblProducts[[#This Row],[Rating]]&lt;3,"Poor",IF(tblProducts[[#This Row],[Rating]]&lt;=4.5,"Average","Excellent")))</f>
        <v>Average</v>
      </c>
      <c r="I25" s="3" t="str">
        <f>IF(tblProducts[[#This Row],[Discount]]="","Missing",IF(tblProducts[[#This Row],[Discount]]&lt;=20%,"Low Discount",IF(tblProducts[[#This Row],[Discount]]&lt;=40%,"Medium Discount","High Discount")))</f>
        <v>Medium Discount</v>
      </c>
      <c r="J25" s="3" t="str">
        <f>IF(tblProducts[[#This Row],[Current Price]]&lt;=Price_Q1,"Low Price",IF(tblProducts[[#This Row],[Current Price]]&lt;=Price_Q3,"Medium Price","High Price"))</f>
        <v>Medium Price</v>
      </c>
      <c r="K25" s="3" t="str">
        <f>IF(tblProducts[[#This Row],[Review]]="","Missing",IF(tblProducts[[#This Row],[Review]]&gt;=Review_P75,"High Engagement","Low Engagement"))</f>
        <v>Low Engagement</v>
      </c>
      <c r="L2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5" s="3" t="str">
        <f>IF(AND(tblProducts[[#This Row],[Rating Category]]="Excellent",tblProducts[[#This Row],[Engagement Flag]]="High Engagement"),"Yes","No")</f>
        <v>No</v>
      </c>
      <c r="N25" s="3" t="str">
        <f>IF(AND(tblProducts[[#This Row],[Discount Category]]="High Discount",tblProducts[[#This Row],[Rating Category]]="Poor"),"Yes","No")</f>
        <v>No</v>
      </c>
      <c r="O25" s="3" t="str">
        <f>IF(AND(tblProducts[[#This Row],[Discount Category]]="High Discount",tblProducts[[#This Row],[Rating Category]]="Excellent"),"Yes","No")</f>
        <v>No</v>
      </c>
      <c r="P25" s="3" t="str">
        <f>IF(AND(tblProducts[[#This Row],[Rating Category]]="Poor",tblProducts[[#This Row],[Engagement Flag]]="Low Engagement"),"Yes","No")</f>
        <v>No</v>
      </c>
      <c r="Q25" t="s">
        <v>335</v>
      </c>
    </row>
    <row r="26" spans="1:17" x14ac:dyDescent="0.35">
      <c r="A26" t="s">
        <v>79</v>
      </c>
      <c r="B26" s="3">
        <v>880</v>
      </c>
      <c r="C26" s="3">
        <v>1350</v>
      </c>
      <c r="D26" s="4">
        <v>0.35</v>
      </c>
      <c r="E26" s="5">
        <v>6</v>
      </c>
      <c r="F26" s="6">
        <v>4</v>
      </c>
      <c r="G26" s="3">
        <f>tblProducts[[#This Row],[Old Price]]-tblProducts[[#This Row],[Current Price]]</f>
        <v>470</v>
      </c>
      <c r="H26" s="3" t="str">
        <f>IF(tblProducts[[#This Row],[Rating]]="","Missing",IF(tblProducts[[#This Row],[Rating]]&lt;3,"Poor",IF(tblProducts[[#This Row],[Rating]]&lt;=4.5,"Average","Excellent")))</f>
        <v>Average</v>
      </c>
      <c r="I26" s="3" t="str">
        <f>IF(tblProducts[[#This Row],[Discount]]="","Missing",IF(tblProducts[[#This Row],[Discount]]&lt;=20%,"Low Discount",IF(tblProducts[[#This Row],[Discount]]&lt;=40%,"Medium Discount","High Discount")))</f>
        <v>Medium Discount</v>
      </c>
      <c r="J26" s="3" t="str">
        <f>IF(tblProducts[[#This Row],[Current Price]]&lt;=Price_Q1,"Low Price",IF(tblProducts[[#This Row],[Current Price]]&lt;=Price_Q3,"Medium Price","High Price"))</f>
        <v>Medium Price</v>
      </c>
      <c r="K26" s="3" t="str">
        <f>IF(tblProducts[[#This Row],[Review]]="","Missing",IF(tblProducts[[#This Row],[Review]]&gt;=Review_P75,"High Engagement","Low Engagement"))</f>
        <v>Low Engagement</v>
      </c>
      <c r="L2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6" s="3" t="str">
        <f>IF(AND(tblProducts[[#This Row],[Rating Category]]="Excellent",tblProducts[[#This Row],[Engagement Flag]]="High Engagement"),"Yes","No")</f>
        <v>No</v>
      </c>
      <c r="N26" s="3" t="str">
        <f>IF(AND(tblProducts[[#This Row],[Discount Category]]="High Discount",tblProducts[[#This Row],[Rating Category]]="Poor"),"Yes","No")</f>
        <v>No</v>
      </c>
      <c r="O26" s="3" t="str">
        <f>IF(AND(tblProducts[[#This Row],[Discount Category]]="High Discount",tblProducts[[#This Row],[Rating Category]]="Excellent"),"Yes","No")</f>
        <v>No</v>
      </c>
      <c r="P26" s="3" t="str">
        <f>IF(AND(tblProducts[[#This Row],[Rating Category]]="Poor",tblProducts[[#This Row],[Engagement Flag]]="Low Engagement"),"Yes","No")</f>
        <v>No</v>
      </c>
      <c r="Q26" t="s">
        <v>335</v>
      </c>
    </row>
    <row r="27" spans="1:17" x14ac:dyDescent="0.35">
      <c r="A27" t="s">
        <v>254</v>
      </c>
      <c r="B27" s="3">
        <v>330</v>
      </c>
      <c r="C27" s="3">
        <v>647</v>
      </c>
      <c r="D27" s="4">
        <v>0.49</v>
      </c>
      <c r="E27" s="5">
        <v>1</v>
      </c>
      <c r="F27" s="6">
        <v>4</v>
      </c>
      <c r="G27" s="3">
        <f>tblProducts[[#This Row],[Old Price]]-tblProducts[[#This Row],[Current Price]]</f>
        <v>317</v>
      </c>
      <c r="H27" s="3" t="str">
        <f>IF(tblProducts[[#This Row],[Rating]]="","Missing",IF(tblProducts[[#This Row],[Rating]]&lt;3,"Poor",IF(tblProducts[[#This Row],[Rating]]&lt;=4.5,"Average","Excellent")))</f>
        <v>Average</v>
      </c>
      <c r="I27" s="3" t="str">
        <f>IF(tblProducts[[#This Row],[Discount]]="","Missing",IF(tblProducts[[#This Row],[Discount]]&lt;=20%,"Low Discount",IF(tblProducts[[#This Row],[Discount]]&lt;=40%,"Medium Discount","High Discount")))</f>
        <v>High Discount</v>
      </c>
      <c r="J27" s="3" t="str">
        <f>IF(tblProducts[[#This Row],[Current Price]]&lt;=Price_Q1,"Low Price",IF(tblProducts[[#This Row],[Current Price]]&lt;=Price_Q3,"Medium Price","High Price"))</f>
        <v>Low Price</v>
      </c>
      <c r="K27" s="3" t="str">
        <f>IF(tblProducts[[#This Row],[Review]]="","Missing",IF(tblProducts[[#This Row],[Review]]&gt;=Review_P75,"High Engagement","Low Engagement"))</f>
        <v>Low Engagement</v>
      </c>
      <c r="L2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7" s="3" t="str">
        <f>IF(AND(tblProducts[[#This Row],[Rating Category]]="Excellent",tblProducts[[#This Row],[Engagement Flag]]="High Engagement"),"Yes","No")</f>
        <v>No</v>
      </c>
      <c r="N27" s="3" t="str">
        <f>IF(AND(tblProducts[[#This Row],[Discount Category]]="High Discount",tblProducts[[#This Row],[Rating Category]]="Poor"),"Yes","No")</f>
        <v>No</v>
      </c>
      <c r="O27" s="3" t="str">
        <f>IF(AND(tblProducts[[#This Row],[Discount Category]]="High Discount",tblProducts[[#This Row],[Rating Category]]="Excellent"),"Yes","No")</f>
        <v>No</v>
      </c>
      <c r="P27" s="3" t="str">
        <f>IF(AND(tblProducts[[#This Row],[Rating Category]]="Poor",tblProducts[[#This Row],[Engagement Flag]]="Low Engagement"),"Yes","No")</f>
        <v>No</v>
      </c>
      <c r="Q27" t="s">
        <v>335</v>
      </c>
    </row>
    <row r="28" spans="1:17" x14ac:dyDescent="0.35">
      <c r="A28" t="s">
        <v>10</v>
      </c>
      <c r="B28" s="3">
        <v>527</v>
      </c>
      <c r="C28" s="3">
        <v>999</v>
      </c>
      <c r="D28" s="4">
        <v>0.47</v>
      </c>
      <c r="E28" s="5">
        <v>14</v>
      </c>
      <c r="F28" s="6">
        <v>4.0999999999999996</v>
      </c>
      <c r="G28" s="3">
        <f>tblProducts[[#This Row],[Old Price]]-tblProducts[[#This Row],[Current Price]]</f>
        <v>472</v>
      </c>
      <c r="H28" s="3" t="str">
        <f>IF(tblProducts[[#This Row],[Rating]]="","Missing",IF(tblProducts[[#This Row],[Rating]]&lt;3,"Poor",IF(tblProducts[[#This Row],[Rating]]&lt;=4.5,"Average","Excellent")))</f>
        <v>Average</v>
      </c>
      <c r="I28" s="3" t="str">
        <f>IF(tblProducts[[#This Row],[Discount]]="","Missing",IF(tblProducts[[#This Row],[Discount]]&lt;=20%,"Low Discount",IF(tblProducts[[#This Row],[Discount]]&lt;=40%,"Medium Discount","High Discount")))</f>
        <v>High Discount</v>
      </c>
      <c r="J28" s="3" t="str">
        <f>IF(tblProducts[[#This Row],[Current Price]]&lt;=Price_Q1,"Low Price",IF(tblProducts[[#This Row],[Current Price]]&lt;=Price_Q3,"Medium Price","High Price"))</f>
        <v>Medium Price</v>
      </c>
      <c r="K28" s="3" t="str">
        <f>IF(tblProducts[[#This Row],[Review]]="","Missing",IF(tblProducts[[#This Row],[Review]]&gt;=Review_P75,"High Engagement","Low Engagement"))</f>
        <v>High Engagement</v>
      </c>
      <c r="L2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8" s="3" t="str">
        <f>IF(AND(tblProducts[[#This Row],[Rating Category]]="Excellent",tblProducts[[#This Row],[Engagement Flag]]="High Engagement"),"Yes","No")</f>
        <v>No</v>
      </c>
      <c r="N28" s="3" t="str">
        <f>IF(AND(tblProducts[[#This Row],[Discount Category]]="High Discount",tblProducts[[#This Row],[Rating Category]]="Poor"),"Yes","No")</f>
        <v>No</v>
      </c>
      <c r="O28" s="3" t="str">
        <f>IF(AND(tblProducts[[#This Row],[Discount Category]]="High Discount",tblProducts[[#This Row],[Rating Category]]="Excellent"),"Yes","No")</f>
        <v>No</v>
      </c>
      <c r="P28" s="3" t="str">
        <f>IF(AND(tblProducts[[#This Row],[Rating Category]]="Poor",tblProducts[[#This Row],[Engagement Flag]]="Low Engagement"),"Yes","No")</f>
        <v>No</v>
      </c>
      <c r="Q28" t="s">
        <v>335</v>
      </c>
    </row>
    <row r="29" spans="1:17" x14ac:dyDescent="0.35">
      <c r="A29" t="s">
        <v>42</v>
      </c>
      <c r="B29" s="3">
        <v>799</v>
      </c>
      <c r="C29" s="3">
        <v>999</v>
      </c>
      <c r="D29" s="4">
        <v>0.2</v>
      </c>
      <c r="E29" s="5">
        <v>12</v>
      </c>
      <c r="F29" s="6">
        <v>4.0999999999999996</v>
      </c>
      <c r="G29" s="3">
        <f>tblProducts[[#This Row],[Old Price]]-tblProducts[[#This Row],[Current Price]]</f>
        <v>200</v>
      </c>
      <c r="H29" s="3" t="str">
        <f>IF(tblProducts[[#This Row],[Rating]]="","Missing",IF(tblProducts[[#This Row],[Rating]]&lt;3,"Poor",IF(tblProducts[[#This Row],[Rating]]&lt;=4.5,"Average","Excellent")))</f>
        <v>Average</v>
      </c>
      <c r="I29" s="3" t="str">
        <f>IF(tblProducts[[#This Row],[Discount]]="","Missing",IF(tblProducts[[#This Row],[Discount]]&lt;=20%,"Low Discount",IF(tblProducts[[#This Row],[Discount]]&lt;=40%,"Medium Discount","High Discount")))</f>
        <v>Low Discount</v>
      </c>
      <c r="J29" s="3" t="str">
        <f>IF(tblProducts[[#This Row],[Current Price]]&lt;=Price_Q1,"Low Price",IF(tblProducts[[#This Row],[Current Price]]&lt;=Price_Q3,"Medium Price","High Price"))</f>
        <v>Medium Price</v>
      </c>
      <c r="K29" s="3" t="str">
        <f>IF(tblProducts[[#This Row],[Review]]="","Missing",IF(tblProducts[[#This Row],[Review]]&gt;=Review_P75,"High Engagement","Low Engagement"))</f>
        <v>Low Engagement</v>
      </c>
      <c r="L2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29" s="3" t="str">
        <f>IF(AND(tblProducts[[#This Row],[Rating Category]]="Excellent",tblProducts[[#This Row],[Engagement Flag]]="High Engagement"),"Yes","No")</f>
        <v>No</v>
      </c>
      <c r="N29" s="3" t="str">
        <f>IF(AND(tblProducts[[#This Row],[Discount Category]]="High Discount",tblProducts[[#This Row],[Rating Category]]="Poor"),"Yes","No")</f>
        <v>No</v>
      </c>
      <c r="O29" s="3" t="str">
        <f>IF(AND(tblProducts[[#This Row],[Discount Category]]="High Discount",tblProducts[[#This Row],[Rating Category]]="Excellent"),"Yes","No")</f>
        <v>No</v>
      </c>
      <c r="P29" s="3" t="str">
        <f>IF(AND(tblProducts[[#This Row],[Rating Category]]="Poor",tblProducts[[#This Row],[Engagement Flag]]="Low Engagement"),"Yes","No")</f>
        <v>No</v>
      </c>
      <c r="Q29" t="s">
        <v>335</v>
      </c>
    </row>
    <row r="30" spans="1:17" x14ac:dyDescent="0.35">
      <c r="A30" t="s">
        <v>98</v>
      </c>
      <c r="B30" s="3">
        <v>1758</v>
      </c>
      <c r="C30" s="3">
        <v>2499</v>
      </c>
      <c r="D30" s="4">
        <v>0.3</v>
      </c>
      <c r="E30" s="5">
        <v>20</v>
      </c>
      <c r="F30" s="6">
        <v>4.0999999999999996</v>
      </c>
      <c r="G30" s="3">
        <f>tblProducts[[#This Row],[Old Price]]-tblProducts[[#This Row],[Current Price]]</f>
        <v>741</v>
      </c>
      <c r="H30" s="3" t="str">
        <f>IF(tblProducts[[#This Row],[Rating]]="","Missing",IF(tblProducts[[#This Row],[Rating]]&lt;3,"Poor",IF(tblProducts[[#This Row],[Rating]]&lt;=4.5,"Average","Excellent")))</f>
        <v>Average</v>
      </c>
      <c r="I30" s="3" t="str">
        <f>IF(tblProducts[[#This Row],[Discount]]="","Missing",IF(tblProducts[[#This Row],[Discount]]&lt;=20%,"Low Discount",IF(tblProducts[[#This Row],[Discount]]&lt;=40%,"Medium Discount","High Discount")))</f>
        <v>Medium Discount</v>
      </c>
      <c r="J30" s="3" t="str">
        <f>IF(tblProducts[[#This Row],[Current Price]]&lt;=Price_Q1,"Low Price",IF(tblProducts[[#This Row],[Current Price]]&lt;=Price_Q3,"Medium Price","High Price"))</f>
        <v>High Price</v>
      </c>
      <c r="K30" s="3" t="str">
        <f>IF(tblProducts[[#This Row],[Review]]="","Missing",IF(tblProducts[[#This Row],[Review]]&gt;=Review_P75,"High Engagement","Low Engagement"))</f>
        <v>High Engagement</v>
      </c>
      <c r="L3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0" s="3" t="str">
        <f>IF(AND(tblProducts[[#This Row],[Rating Category]]="Excellent",tblProducts[[#This Row],[Engagement Flag]]="High Engagement"),"Yes","No")</f>
        <v>No</v>
      </c>
      <c r="N30" s="3" t="str">
        <f>IF(AND(tblProducts[[#This Row],[Discount Category]]="High Discount",tblProducts[[#This Row],[Rating Category]]="Poor"),"Yes","No")</f>
        <v>No</v>
      </c>
      <c r="O30" s="3" t="str">
        <f>IF(AND(tblProducts[[#This Row],[Discount Category]]="High Discount",tblProducts[[#This Row],[Rating Category]]="Excellent"),"Yes","No")</f>
        <v>No</v>
      </c>
      <c r="P30" s="3" t="str">
        <f>IF(AND(tblProducts[[#This Row],[Rating Category]]="Poor",tblProducts[[#This Row],[Engagement Flag]]="Low Engagement"),"Yes","No")</f>
        <v>No</v>
      </c>
      <c r="Q30" t="s">
        <v>335</v>
      </c>
    </row>
    <row r="31" spans="1:17" x14ac:dyDescent="0.35">
      <c r="A31" t="s">
        <v>100</v>
      </c>
      <c r="B31" s="3">
        <v>2200</v>
      </c>
      <c r="C31" s="3">
        <v>4080</v>
      </c>
      <c r="D31" s="4">
        <v>0.46</v>
      </c>
      <c r="E31" s="5"/>
      <c r="F31" s="6"/>
      <c r="G31" s="3">
        <f>tblProducts[[#This Row],[Old Price]]-tblProducts[[#This Row],[Current Price]]</f>
        <v>1880</v>
      </c>
      <c r="H31" s="3" t="str">
        <f>IF(tblProducts[[#This Row],[Rating]]="","Missing",IF(tblProducts[[#This Row],[Rating]]&lt;3,"Poor",IF(tblProducts[[#This Row],[Rating]]&lt;=4.5,"Average","Excellent")))</f>
        <v>Missing</v>
      </c>
      <c r="I31" s="3" t="str">
        <f>IF(tblProducts[[#This Row],[Discount]]="","Missing",IF(tblProducts[[#This Row],[Discount]]&lt;=20%,"Low Discount",IF(tblProducts[[#This Row],[Discount]]&lt;=40%,"Medium Discount","High Discount")))</f>
        <v>High Discount</v>
      </c>
      <c r="J31" s="3" t="str">
        <f>IF(tblProducts[[#This Row],[Current Price]]&lt;=Price_Q1,"Low Price",IF(tblProducts[[#This Row],[Current Price]]&lt;=Price_Q3,"Medium Price","High Price"))</f>
        <v>High Price</v>
      </c>
      <c r="K31" s="3" t="str">
        <f>IF(tblProducts[[#This Row],[Review]]="","Missing",IF(tblProducts[[#This Row],[Review]]&gt;=Review_P75,"High Engagement","Low Engagement"))</f>
        <v>Missing</v>
      </c>
      <c r="L3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31" s="3" t="str">
        <f>IF(AND(tblProducts[[#This Row],[Rating Category]]="Excellent",tblProducts[[#This Row],[Engagement Flag]]="High Engagement"),"Yes","No")</f>
        <v>No</v>
      </c>
      <c r="N31" s="3" t="str">
        <f>IF(AND(tblProducts[[#This Row],[Discount Category]]="High Discount",tblProducts[[#This Row],[Rating Category]]="Poor"),"Yes","No")</f>
        <v>No</v>
      </c>
      <c r="O31" s="3" t="str">
        <f>IF(AND(tblProducts[[#This Row],[Discount Category]]="High Discount",tblProducts[[#This Row],[Rating Category]]="Excellent"),"Yes","No")</f>
        <v>No</v>
      </c>
      <c r="P31" s="3" t="str">
        <f>IF(AND(tblProducts[[#This Row],[Rating Category]]="Poor",tblProducts[[#This Row],[Engagement Flag]]="Low Engagement"),"Yes","No")</f>
        <v>No</v>
      </c>
      <c r="Q31" t="s">
        <v>334</v>
      </c>
    </row>
    <row r="32" spans="1:17" x14ac:dyDescent="0.35">
      <c r="A32" t="s">
        <v>53</v>
      </c>
      <c r="B32" s="3">
        <v>1680</v>
      </c>
      <c r="C32" s="3">
        <v>2499</v>
      </c>
      <c r="D32" s="4">
        <v>0.33</v>
      </c>
      <c r="E32" s="5">
        <v>9</v>
      </c>
      <c r="F32" s="6">
        <v>4.2</v>
      </c>
      <c r="G32" s="3">
        <f>tblProducts[[#This Row],[Old Price]]-tblProducts[[#This Row],[Current Price]]</f>
        <v>819</v>
      </c>
      <c r="H32" s="3" t="str">
        <f>IF(tblProducts[[#This Row],[Rating]]="","Missing",IF(tblProducts[[#This Row],[Rating]]&lt;3,"Poor",IF(tblProducts[[#This Row],[Rating]]&lt;=4.5,"Average","Excellent")))</f>
        <v>Average</v>
      </c>
      <c r="I32" s="3" t="str">
        <f>IF(tblProducts[[#This Row],[Discount]]="","Missing",IF(tblProducts[[#This Row],[Discount]]&lt;=20%,"Low Discount",IF(tblProducts[[#This Row],[Discount]]&lt;=40%,"Medium Discount","High Discount")))</f>
        <v>Medium Discount</v>
      </c>
      <c r="J32" s="3" t="str">
        <f>IF(tblProducts[[#This Row],[Current Price]]&lt;=Price_Q1,"Low Price",IF(tblProducts[[#This Row],[Current Price]]&lt;=Price_Q3,"Medium Price","High Price"))</f>
        <v>High Price</v>
      </c>
      <c r="K32" s="3" t="str">
        <f>IF(tblProducts[[#This Row],[Review]]="","Missing",IF(tblProducts[[#This Row],[Review]]&gt;=Review_P75,"High Engagement","Low Engagement"))</f>
        <v>Low Engagement</v>
      </c>
      <c r="L3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2" s="3" t="str">
        <f>IF(AND(tblProducts[[#This Row],[Rating Category]]="Excellent",tblProducts[[#This Row],[Engagement Flag]]="High Engagement"),"Yes","No")</f>
        <v>No</v>
      </c>
      <c r="N32" s="3" t="str">
        <f>IF(AND(tblProducts[[#This Row],[Discount Category]]="High Discount",tblProducts[[#This Row],[Rating Category]]="Poor"),"Yes","No")</f>
        <v>No</v>
      </c>
      <c r="O32" s="3" t="str">
        <f>IF(AND(tblProducts[[#This Row],[Discount Category]]="High Discount",tblProducts[[#This Row],[Rating Category]]="Excellent"),"Yes","No")</f>
        <v>No</v>
      </c>
      <c r="P32" s="3" t="str">
        <f>IF(AND(tblProducts[[#This Row],[Rating Category]]="Poor",tblProducts[[#This Row],[Engagement Flag]]="Low Engagement"),"Yes","No")</f>
        <v>No</v>
      </c>
      <c r="Q32" t="s">
        <v>335</v>
      </c>
    </row>
    <row r="33" spans="1:17" x14ac:dyDescent="0.35">
      <c r="A33" t="s">
        <v>86</v>
      </c>
      <c r="B33" s="3">
        <v>2048</v>
      </c>
      <c r="C33" s="3">
        <v>4500</v>
      </c>
      <c r="D33" s="4">
        <v>0.54</v>
      </c>
      <c r="E33" s="5">
        <v>7</v>
      </c>
      <c r="F33" s="6">
        <v>4.3</v>
      </c>
      <c r="G33" s="3">
        <f>tblProducts[[#This Row],[Old Price]]-tblProducts[[#This Row],[Current Price]]</f>
        <v>2452</v>
      </c>
      <c r="H33" s="3" t="str">
        <f>IF(tblProducts[[#This Row],[Rating]]="","Missing",IF(tblProducts[[#This Row],[Rating]]&lt;3,"Poor",IF(tblProducts[[#This Row],[Rating]]&lt;=4.5,"Average","Excellent")))</f>
        <v>Average</v>
      </c>
      <c r="I33" s="3" t="str">
        <f>IF(tblProducts[[#This Row],[Discount]]="","Missing",IF(tblProducts[[#This Row],[Discount]]&lt;=20%,"Low Discount",IF(tblProducts[[#This Row],[Discount]]&lt;=40%,"Medium Discount","High Discount")))</f>
        <v>High Discount</v>
      </c>
      <c r="J33" s="3" t="str">
        <f>IF(tblProducts[[#This Row],[Current Price]]&lt;=Price_Q1,"Low Price",IF(tblProducts[[#This Row],[Current Price]]&lt;=Price_Q3,"Medium Price","High Price"))</f>
        <v>High Price</v>
      </c>
      <c r="K33" s="3" t="str">
        <f>IF(tblProducts[[#This Row],[Review]]="","Missing",IF(tblProducts[[#This Row],[Review]]&gt;=Review_P75,"High Engagement","Low Engagement"))</f>
        <v>Low Engagement</v>
      </c>
      <c r="L3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3" s="3" t="str">
        <f>IF(AND(tblProducts[[#This Row],[Rating Category]]="Excellent",tblProducts[[#This Row],[Engagement Flag]]="High Engagement"),"Yes","No")</f>
        <v>No</v>
      </c>
      <c r="N33" s="3" t="str">
        <f>IF(AND(tblProducts[[#This Row],[Discount Category]]="High Discount",tblProducts[[#This Row],[Rating Category]]="Poor"),"Yes","No")</f>
        <v>No</v>
      </c>
      <c r="O33" s="3" t="str">
        <f>IF(AND(tblProducts[[#This Row],[Discount Category]]="High Discount",tblProducts[[#This Row],[Rating Category]]="Excellent"),"Yes","No")</f>
        <v>No</v>
      </c>
      <c r="P33" s="3" t="str">
        <f>IF(AND(tblProducts[[#This Row],[Rating Category]]="Poor",tblProducts[[#This Row],[Engagement Flag]]="Low Engagement"),"Yes","No")</f>
        <v>No</v>
      </c>
      <c r="Q33" t="s">
        <v>335</v>
      </c>
    </row>
    <row r="34" spans="1:17" x14ac:dyDescent="0.35">
      <c r="A34" t="s">
        <v>103</v>
      </c>
      <c r="B34" s="3">
        <v>185</v>
      </c>
      <c r="C34" s="3">
        <v>382</v>
      </c>
      <c r="D34" s="4">
        <v>0.52</v>
      </c>
      <c r="E34" s="5">
        <v>9</v>
      </c>
      <c r="F34" s="6">
        <v>4.3</v>
      </c>
      <c r="G34" s="3">
        <f>tblProducts[[#This Row],[Old Price]]-tblProducts[[#This Row],[Current Price]]</f>
        <v>197</v>
      </c>
      <c r="H34" s="3" t="str">
        <f>IF(tblProducts[[#This Row],[Rating]]="","Missing",IF(tblProducts[[#This Row],[Rating]]&lt;3,"Poor",IF(tblProducts[[#This Row],[Rating]]&lt;=4.5,"Average","Excellent")))</f>
        <v>Average</v>
      </c>
      <c r="I34" s="3" t="str">
        <f>IF(tblProducts[[#This Row],[Discount]]="","Missing",IF(tblProducts[[#This Row],[Discount]]&lt;=20%,"Low Discount",IF(tblProducts[[#This Row],[Discount]]&lt;=40%,"Medium Discount","High Discount")))</f>
        <v>High Discount</v>
      </c>
      <c r="J34" s="3" t="str">
        <f>IF(tblProducts[[#This Row],[Current Price]]&lt;=Price_Q1,"Low Price",IF(tblProducts[[#This Row],[Current Price]]&lt;=Price_Q3,"Medium Price","High Price"))</f>
        <v>Low Price</v>
      </c>
      <c r="K34" s="3" t="str">
        <f>IF(tblProducts[[#This Row],[Review]]="","Missing",IF(tblProducts[[#This Row],[Review]]&gt;=Review_P75,"High Engagement","Low Engagement"))</f>
        <v>Low Engagement</v>
      </c>
      <c r="L3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4" s="3" t="str">
        <f>IF(AND(tblProducts[[#This Row],[Rating Category]]="Excellent",tblProducts[[#This Row],[Engagement Flag]]="High Engagement"),"Yes","No")</f>
        <v>No</v>
      </c>
      <c r="N34" s="3" t="str">
        <f>IF(AND(tblProducts[[#This Row],[Discount Category]]="High Discount",tblProducts[[#This Row],[Rating Category]]="Poor"),"Yes","No")</f>
        <v>No</v>
      </c>
      <c r="O34" s="3" t="str">
        <f>IF(AND(tblProducts[[#This Row],[Discount Category]]="High Discount",tblProducts[[#This Row],[Rating Category]]="Excellent"),"Yes","No")</f>
        <v>No</v>
      </c>
      <c r="P34" s="3" t="str">
        <f>IF(AND(tblProducts[[#This Row],[Rating Category]]="Poor",tblProducts[[#This Row],[Engagement Flag]]="Low Engagement"),"Yes","No")</f>
        <v>No</v>
      </c>
      <c r="Q34" t="s">
        <v>335</v>
      </c>
    </row>
    <row r="35" spans="1:17" x14ac:dyDescent="0.35">
      <c r="A35" t="s">
        <v>109</v>
      </c>
      <c r="B35" s="3">
        <v>1820</v>
      </c>
      <c r="C35" s="3">
        <v>3490</v>
      </c>
      <c r="D35" s="4">
        <v>0.48</v>
      </c>
      <c r="E35" s="5">
        <v>9</v>
      </c>
      <c r="F35" s="6">
        <v>4.3</v>
      </c>
      <c r="G35" s="3">
        <f>tblProducts[[#This Row],[Old Price]]-tblProducts[[#This Row],[Current Price]]</f>
        <v>1670</v>
      </c>
      <c r="H35" s="3" t="str">
        <f>IF(tblProducts[[#This Row],[Rating]]="","Missing",IF(tblProducts[[#This Row],[Rating]]&lt;3,"Poor",IF(tblProducts[[#This Row],[Rating]]&lt;=4.5,"Average","Excellent")))</f>
        <v>Average</v>
      </c>
      <c r="I35" s="3" t="str">
        <f>IF(tblProducts[[#This Row],[Discount]]="","Missing",IF(tblProducts[[#This Row],[Discount]]&lt;=20%,"Low Discount",IF(tblProducts[[#This Row],[Discount]]&lt;=40%,"Medium Discount","High Discount")))</f>
        <v>High Discount</v>
      </c>
      <c r="J35" s="3" t="str">
        <f>IF(tblProducts[[#This Row],[Current Price]]&lt;=Price_Q1,"Low Price",IF(tblProducts[[#This Row],[Current Price]]&lt;=Price_Q3,"Medium Price","High Price"))</f>
        <v>High Price</v>
      </c>
      <c r="K35" s="3" t="str">
        <f>IF(tblProducts[[#This Row],[Review]]="","Missing",IF(tblProducts[[#This Row],[Review]]&gt;=Review_P75,"High Engagement","Low Engagement"))</f>
        <v>Low Engagement</v>
      </c>
      <c r="L3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5" s="3" t="str">
        <f>IF(AND(tblProducts[[#This Row],[Rating Category]]="Excellent",tblProducts[[#This Row],[Engagement Flag]]="High Engagement"),"Yes","No")</f>
        <v>No</v>
      </c>
      <c r="N35" s="3" t="str">
        <f>IF(AND(tblProducts[[#This Row],[Discount Category]]="High Discount",tblProducts[[#This Row],[Rating Category]]="Poor"),"Yes","No")</f>
        <v>No</v>
      </c>
      <c r="O35" s="3" t="str">
        <f>IF(AND(tblProducts[[#This Row],[Discount Category]]="High Discount",tblProducts[[#This Row],[Rating Category]]="Excellent"),"Yes","No")</f>
        <v>No</v>
      </c>
      <c r="P35" s="3" t="str">
        <f>IF(AND(tblProducts[[#This Row],[Rating Category]]="Poor",tblProducts[[#This Row],[Engagement Flag]]="Low Engagement"),"Yes","No")</f>
        <v>No</v>
      </c>
      <c r="Q35" t="s">
        <v>335</v>
      </c>
    </row>
    <row r="36" spans="1:17" x14ac:dyDescent="0.35">
      <c r="A36" t="s">
        <v>123</v>
      </c>
      <c r="B36" s="3">
        <v>389</v>
      </c>
      <c r="C36" s="3">
        <v>656</v>
      </c>
      <c r="D36" s="4">
        <v>0.41</v>
      </c>
      <c r="E36" s="5">
        <v>36</v>
      </c>
      <c r="F36" s="6">
        <v>4.3</v>
      </c>
      <c r="G36" s="3">
        <f>tblProducts[[#This Row],[Old Price]]-tblProducts[[#This Row],[Current Price]]</f>
        <v>267</v>
      </c>
      <c r="H36" s="3" t="str">
        <f>IF(tblProducts[[#This Row],[Rating]]="","Missing",IF(tblProducts[[#This Row],[Rating]]&lt;3,"Poor",IF(tblProducts[[#This Row],[Rating]]&lt;=4.5,"Average","Excellent")))</f>
        <v>Average</v>
      </c>
      <c r="I36" s="3" t="str">
        <f>IF(tblProducts[[#This Row],[Discount]]="","Missing",IF(tblProducts[[#This Row],[Discount]]&lt;=20%,"Low Discount",IF(tblProducts[[#This Row],[Discount]]&lt;=40%,"Medium Discount","High Discount")))</f>
        <v>High Discount</v>
      </c>
      <c r="J36" s="3" t="str">
        <f>IF(tblProducts[[#This Row],[Current Price]]&lt;=Price_Q1,"Low Price",IF(tblProducts[[#This Row],[Current Price]]&lt;=Price_Q3,"Medium Price","High Price"))</f>
        <v>Low Price</v>
      </c>
      <c r="K36" s="3" t="str">
        <f>IF(tblProducts[[#This Row],[Review]]="","Missing",IF(tblProducts[[#This Row],[Review]]&gt;=Review_P75,"High Engagement","Low Engagement"))</f>
        <v>High Engagement</v>
      </c>
      <c r="L3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6" s="3" t="str">
        <f>IF(AND(tblProducts[[#This Row],[Rating Category]]="Excellent",tblProducts[[#This Row],[Engagement Flag]]="High Engagement"),"Yes","No")</f>
        <v>No</v>
      </c>
      <c r="N36" s="3" t="str">
        <f>IF(AND(tblProducts[[#This Row],[Discount Category]]="High Discount",tblProducts[[#This Row],[Rating Category]]="Poor"),"Yes","No")</f>
        <v>No</v>
      </c>
      <c r="O36" s="3" t="str">
        <f>IF(AND(tblProducts[[#This Row],[Discount Category]]="High Discount",tblProducts[[#This Row],[Rating Category]]="Excellent"),"Yes","No")</f>
        <v>No</v>
      </c>
      <c r="P36" s="3" t="str">
        <f>IF(AND(tblProducts[[#This Row],[Rating Category]]="Poor",tblProducts[[#This Row],[Engagement Flag]]="Low Engagement"),"Yes","No")</f>
        <v>No</v>
      </c>
      <c r="Q36" t="s">
        <v>335</v>
      </c>
    </row>
    <row r="37" spans="1:17" x14ac:dyDescent="0.35">
      <c r="A37" t="s">
        <v>82</v>
      </c>
      <c r="B37" s="3">
        <v>1650</v>
      </c>
      <c r="C37" s="3">
        <v>2150</v>
      </c>
      <c r="D37" s="4">
        <v>0.23</v>
      </c>
      <c r="E37" s="5">
        <v>14</v>
      </c>
      <c r="F37" s="6">
        <v>4.4000000000000004</v>
      </c>
      <c r="G37" s="3">
        <f>tblProducts[[#This Row],[Old Price]]-tblProducts[[#This Row],[Current Price]]</f>
        <v>500</v>
      </c>
      <c r="H37" s="3" t="str">
        <f>IF(tblProducts[[#This Row],[Rating]]="","Missing",IF(tblProducts[[#This Row],[Rating]]&lt;3,"Poor",IF(tblProducts[[#This Row],[Rating]]&lt;=4.5,"Average","Excellent")))</f>
        <v>Average</v>
      </c>
      <c r="I37" s="3" t="str">
        <f>IF(tblProducts[[#This Row],[Discount]]="","Missing",IF(tblProducts[[#This Row],[Discount]]&lt;=20%,"Low Discount",IF(tblProducts[[#This Row],[Discount]]&lt;=40%,"Medium Discount","High Discount")))</f>
        <v>Medium Discount</v>
      </c>
      <c r="J37" s="3" t="str">
        <f>IF(tblProducts[[#This Row],[Current Price]]&lt;=Price_Q1,"Low Price",IF(tblProducts[[#This Row],[Current Price]]&lt;=Price_Q3,"Medium Price","High Price"))</f>
        <v>Medium Price</v>
      </c>
      <c r="K37" s="3" t="str">
        <f>IF(tblProducts[[#This Row],[Review]]="","Missing",IF(tblProducts[[#This Row],[Review]]&gt;=Review_P75,"High Engagement","Low Engagement"))</f>
        <v>High Engagement</v>
      </c>
      <c r="L3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7" s="3" t="str">
        <f>IF(AND(tblProducts[[#This Row],[Rating Category]]="Excellent",tblProducts[[#This Row],[Engagement Flag]]="High Engagement"),"Yes","No")</f>
        <v>No</v>
      </c>
      <c r="N37" s="3" t="str">
        <f>IF(AND(tblProducts[[#This Row],[Discount Category]]="High Discount",tblProducts[[#This Row],[Rating Category]]="Poor"),"Yes","No")</f>
        <v>No</v>
      </c>
      <c r="O37" s="3" t="str">
        <f>IF(AND(tblProducts[[#This Row],[Discount Category]]="High Discount",tblProducts[[#This Row],[Rating Category]]="Excellent"),"Yes","No")</f>
        <v>No</v>
      </c>
      <c r="P37" s="3" t="str">
        <f>IF(AND(tblProducts[[#This Row],[Rating Category]]="Poor",tblProducts[[#This Row],[Engagement Flag]]="Low Engagement"),"Yes","No")</f>
        <v>No</v>
      </c>
      <c r="Q37" t="s">
        <v>335</v>
      </c>
    </row>
    <row r="38" spans="1:17" x14ac:dyDescent="0.35">
      <c r="A38" t="s">
        <v>6</v>
      </c>
      <c r="B38" s="3">
        <v>950</v>
      </c>
      <c r="C38" s="3">
        <v>1525</v>
      </c>
      <c r="D38" s="4">
        <v>0.38</v>
      </c>
      <c r="E38" s="5">
        <v>2</v>
      </c>
      <c r="F38" s="6">
        <v>4.5</v>
      </c>
      <c r="G38" s="3">
        <f>tblProducts[[#This Row],[Old Price]]-tblProducts[[#This Row],[Current Price]]</f>
        <v>575</v>
      </c>
      <c r="H38" s="3" t="str">
        <f>IF(tblProducts[[#This Row],[Rating]]="","Missing",IF(tblProducts[[#This Row],[Rating]]&lt;3,"Poor",IF(tblProducts[[#This Row],[Rating]]&lt;=4.5,"Average","Excellent")))</f>
        <v>Average</v>
      </c>
      <c r="I38" s="3" t="str">
        <f>IF(tblProducts[[#This Row],[Discount]]="","Missing",IF(tblProducts[[#This Row],[Discount]]&lt;=20%,"Low Discount",IF(tblProducts[[#This Row],[Discount]]&lt;=40%,"Medium Discount","High Discount")))</f>
        <v>Medium Discount</v>
      </c>
      <c r="J38" s="3" t="str">
        <f>IF(tblProducts[[#This Row],[Current Price]]&lt;=Price_Q1,"Low Price",IF(tblProducts[[#This Row],[Current Price]]&lt;=Price_Q3,"Medium Price","High Price"))</f>
        <v>Medium Price</v>
      </c>
      <c r="K38" s="3" t="str">
        <f>IF(tblProducts[[#This Row],[Review]]="","Missing",IF(tblProducts[[#This Row],[Review]]&gt;=Review_P75,"High Engagement","Low Engagement"))</f>
        <v>Low Engagement</v>
      </c>
      <c r="L3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8" s="3" t="str">
        <f>IF(AND(tblProducts[[#This Row],[Rating Category]]="Excellent",tblProducts[[#This Row],[Engagement Flag]]="High Engagement"),"Yes","No")</f>
        <v>No</v>
      </c>
      <c r="N38" s="3" t="str">
        <f>IF(AND(tblProducts[[#This Row],[Discount Category]]="High Discount",tblProducts[[#This Row],[Rating Category]]="Poor"),"Yes","No")</f>
        <v>No</v>
      </c>
      <c r="O38" s="3" t="str">
        <f>IF(AND(tblProducts[[#This Row],[Discount Category]]="High Discount",tblProducts[[#This Row],[Rating Category]]="Excellent"),"Yes","No")</f>
        <v>No</v>
      </c>
      <c r="P38" s="3" t="str">
        <f>IF(AND(tblProducts[[#This Row],[Rating Category]]="Poor",tblProducts[[#This Row],[Engagement Flag]]="Low Engagement"),"Yes","No")</f>
        <v>No</v>
      </c>
      <c r="Q38" t="s">
        <v>335</v>
      </c>
    </row>
    <row r="39" spans="1:17" x14ac:dyDescent="0.35">
      <c r="A39" t="s">
        <v>50</v>
      </c>
      <c r="B39" s="3">
        <v>501</v>
      </c>
      <c r="C39" s="3">
        <v>860</v>
      </c>
      <c r="D39" s="4">
        <v>0.42</v>
      </c>
      <c r="E39" s="5">
        <v>6</v>
      </c>
      <c r="F39" s="6">
        <v>4.5</v>
      </c>
      <c r="G39" s="3">
        <f>tblProducts[[#This Row],[Old Price]]-tblProducts[[#This Row],[Current Price]]</f>
        <v>359</v>
      </c>
      <c r="H39" s="3" t="str">
        <f>IF(tblProducts[[#This Row],[Rating]]="","Missing",IF(tblProducts[[#This Row],[Rating]]&lt;3,"Poor",IF(tblProducts[[#This Row],[Rating]]&lt;=4.5,"Average","Excellent")))</f>
        <v>Average</v>
      </c>
      <c r="I39" s="3" t="str">
        <f>IF(tblProducts[[#This Row],[Discount]]="","Missing",IF(tblProducts[[#This Row],[Discount]]&lt;=20%,"Low Discount",IF(tblProducts[[#This Row],[Discount]]&lt;=40%,"Medium Discount","High Discount")))</f>
        <v>High Discount</v>
      </c>
      <c r="J39" s="3" t="str">
        <f>IF(tblProducts[[#This Row],[Current Price]]&lt;=Price_Q1,"Low Price",IF(tblProducts[[#This Row],[Current Price]]&lt;=Price_Q3,"Medium Price","High Price"))</f>
        <v>Medium Price</v>
      </c>
      <c r="K39" s="3" t="str">
        <f>IF(tblProducts[[#This Row],[Review]]="","Missing",IF(tblProducts[[#This Row],[Review]]&gt;=Review_P75,"High Engagement","Low Engagement"))</f>
        <v>Low Engagement</v>
      </c>
      <c r="L3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39" s="3" t="str">
        <f>IF(AND(tblProducts[[#This Row],[Rating Category]]="Excellent",tblProducts[[#This Row],[Engagement Flag]]="High Engagement"),"Yes","No")</f>
        <v>No</v>
      </c>
      <c r="N39" s="3" t="str">
        <f>IF(AND(tblProducts[[#This Row],[Discount Category]]="High Discount",tblProducts[[#This Row],[Rating Category]]="Poor"),"Yes","No")</f>
        <v>No</v>
      </c>
      <c r="O39" s="3" t="str">
        <f>IF(AND(tblProducts[[#This Row],[Discount Category]]="High Discount",tblProducts[[#This Row],[Rating Category]]="Excellent"),"Yes","No")</f>
        <v>No</v>
      </c>
      <c r="P39" s="3" t="str">
        <f>IF(AND(tblProducts[[#This Row],[Rating Category]]="Poor",tblProducts[[#This Row],[Engagement Flag]]="Low Engagement"),"Yes","No")</f>
        <v>No</v>
      </c>
      <c r="Q39" t="s">
        <v>335</v>
      </c>
    </row>
    <row r="40" spans="1:17" x14ac:dyDescent="0.35">
      <c r="A40" t="s">
        <v>115</v>
      </c>
      <c r="B40" s="3">
        <v>1980</v>
      </c>
      <c r="C40" s="3">
        <v>2699</v>
      </c>
      <c r="D40" s="4">
        <v>0.27</v>
      </c>
      <c r="E40" s="5">
        <v>32</v>
      </c>
      <c r="F40" s="6">
        <v>4.5</v>
      </c>
      <c r="G40" s="3">
        <f>tblProducts[[#This Row],[Old Price]]-tblProducts[[#This Row],[Current Price]]</f>
        <v>719</v>
      </c>
      <c r="H40" s="3" t="str">
        <f>IF(tblProducts[[#This Row],[Rating]]="","Missing",IF(tblProducts[[#This Row],[Rating]]&lt;3,"Poor",IF(tblProducts[[#This Row],[Rating]]&lt;=4.5,"Average","Excellent")))</f>
        <v>Average</v>
      </c>
      <c r="I40" s="3" t="str">
        <f>IF(tblProducts[[#This Row],[Discount]]="","Missing",IF(tblProducts[[#This Row],[Discount]]&lt;=20%,"Low Discount",IF(tblProducts[[#This Row],[Discount]]&lt;=40%,"Medium Discount","High Discount")))</f>
        <v>Medium Discount</v>
      </c>
      <c r="J40" s="3" t="str">
        <f>IF(tblProducts[[#This Row],[Current Price]]&lt;=Price_Q1,"Low Price",IF(tblProducts[[#This Row],[Current Price]]&lt;=Price_Q3,"Medium Price","High Price"))</f>
        <v>High Price</v>
      </c>
      <c r="K40" s="3" t="str">
        <f>IF(tblProducts[[#This Row],[Review]]="","Missing",IF(tblProducts[[#This Row],[Review]]&gt;=Review_P75,"High Engagement","Low Engagement"))</f>
        <v>High Engagement</v>
      </c>
      <c r="L4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40" s="3" t="str">
        <f>IF(AND(tblProducts[[#This Row],[Rating Category]]="Excellent",tblProducts[[#This Row],[Engagement Flag]]="High Engagement"),"Yes","No")</f>
        <v>No</v>
      </c>
      <c r="N40" s="3" t="str">
        <f>IF(AND(tblProducts[[#This Row],[Discount Category]]="High Discount",tblProducts[[#This Row],[Rating Category]]="Poor"),"Yes","No")</f>
        <v>No</v>
      </c>
      <c r="O40" s="3" t="str">
        <f>IF(AND(tblProducts[[#This Row],[Discount Category]]="High Discount",tblProducts[[#This Row],[Rating Category]]="Excellent"),"Yes","No")</f>
        <v>No</v>
      </c>
      <c r="P40" s="3" t="str">
        <f>IF(AND(tblProducts[[#This Row],[Rating Category]]="Poor",tblProducts[[#This Row],[Engagement Flag]]="Low Engagement"),"Yes","No")</f>
        <v>No</v>
      </c>
      <c r="Q40" t="s">
        <v>335</v>
      </c>
    </row>
    <row r="41" spans="1:17" x14ac:dyDescent="0.35">
      <c r="A41" t="s">
        <v>129</v>
      </c>
      <c r="B41" s="3">
        <v>2750</v>
      </c>
      <c r="C41" s="3">
        <v>4471</v>
      </c>
      <c r="D41" s="4">
        <v>0.38</v>
      </c>
      <c r="E41" s="5"/>
      <c r="F41" s="6"/>
      <c r="G41" s="3">
        <f>tblProducts[[#This Row],[Old Price]]-tblProducts[[#This Row],[Current Price]]</f>
        <v>1721</v>
      </c>
      <c r="H41" s="3" t="str">
        <f>IF(tblProducts[[#This Row],[Rating]]="","Missing",IF(tblProducts[[#This Row],[Rating]]&lt;3,"Poor",IF(tblProducts[[#This Row],[Rating]]&lt;=4.5,"Average","Excellent")))</f>
        <v>Missing</v>
      </c>
      <c r="I41" s="3" t="str">
        <f>IF(tblProducts[[#This Row],[Discount]]="","Missing",IF(tblProducts[[#This Row],[Discount]]&lt;=20%,"Low Discount",IF(tblProducts[[#This Row],[Discount]]&lt;=40%,"Medium Discount","High Discount")))</f>
        <v>Medium Discount</v>
      </c>
      <c r="J41" s="3" t="str">
        <f>IF(tblProducts[[#This Row],[Current Price]]&lt;=Price_Q1,"Low Price",IF(tblProducts[[#This Row],[Current Price]]&lt;=Price_Q3,"Medium Price","High Price"))</f>
        <v>High Price</v>
      </c>
      <c r="K41" s="3" t="str">
        <f>IF(tblProducts[[#This Row],[Review]]="","Missing",IF(tblProducts[[#This Row],[Review]]&gt;=Review_P75,"High Engagement","Low Engagement"))</f>
        <v>Missing</v>
      </c>
      <c r="L4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1" s="3" t="str">
        <f>IF(AND(tblProducts[[#This Row],[Rating Category]]="Excellent",tblProducts[[#This Row],[Engagement Flag]]="High Engagement"),"Yes","No")</f>
        <v>No</v>
      </c>
      <c r="N41" s="3" t="str">
        <f>IF(AND(tblProducts[[#This Row],[Discount Category]]="High Discount",tblProducts[[#This Row],[Rating Category]]="Poor"),"Yes","No")</f>
        <v>No</v>
      </c>
      <c r="O41" s="3" t="str">
        <f>IF(AND(tblProducts[[#This Row],[Discount Category]]="High Discount",tblProducts[[#This Row],[Rating Category]]="Excellent"),"Yes","No")</f>
        <v>No</v>
      </c>
      <c r="P41" s="3" t="str">
        <f>IF(AND(tblProducts[[#This Row],[Rating Category]]="Poor",tblProducts[[#This Row],[Engagement Flag]]="Low Engagement"),"Yes","No")</f>
        <v>No</v>
      </c>
      <c r="Q41" t="s">
        <v>334</v>
      </c>
    </row>
    <row r="42" spans="1:17" x14ac:dyDescent="0.35">
      <c r="A42" t="s">
        <v>132</v>
      </c>
      <c r="B42" s="3">
        <v>475</v>
      </c>
      <c r="C42" s="3">
        <v>931</v>
      </c>
      <c r="D42" s="4">
        <v>0.49</v>
      </c>
      <c r="E42" s="5"/>
      <c r="F42" s="6"/>
      <c r="G42" s="3">
        <f>tblProducts[[#This Row],[Old Price]]-tblProducts[[#This Row],[Current Price]]</f>
        <v>456</v>
      </c>
      <c r="H42" s="3" t="str">
        <f>IF(tblProducts[[#This Row],[Rating]]="","Missing",IF(tblProducts[[#This Row],[Rating]]&lt;3,"Poor",IF(tblProducts[[#This Row],[Rating]]&lt;=4.5,"Average","Excellent")))</f>
        <v>Missing</v>
      </c>
      <c r="I42" s="3" t="str">
        <f>IF(tblProducts[[#This Row],[Discount]]="","Missing",IF(tblProducts[[#This Row],[Discount]]&lt;=20%,"Low Discount",IF(tblProducts[[#This Row],[Discount]]&lt;=40%,"Medium Discount","High Discount")))</f>
        <v>High Discount</v>
      </c>
      <c r="J42" s="3" t="str">
        <f>IF(tblProducts[[#This Row],[Current Price]]&lt;=Price_Q1,"Low Price",IF(tblProducts[[#This Row],[Current Price]]&lt;=Price_Q3,"Medium Price","High Price"))</f>
        <v>Low Price</v>
      </c>
      <c r="K42" s="3" t="str">
        <f>IF(tblProducts[[#This Row],[Review]]="","Missing",IF(tblProducts[[#This Row],[Review]]&gt;=Review_P75,"High Engagement","Low Engagement"))</f>
        <v>Missing</v>
      </c>
      <c r="L4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2" s="3" t="str">
        <f>IF(AND(tblProducts[[#This Row],[Rating Category]]="Excellent",tblProducts[[#This Row],[Engagement Flag]]="High Engagement"),"Yes","No")</f>
        <v>No</v>
      </c>
      <c r="N42" s="3" t="str">
        <f>IF(AND(tblProducts[[#This Row],[Discount Category]]="High Discount",tblProducts[[#This Row],[Rating Category]]="Poor"),"Yes","No")</f>
        <v>No</v>
      </c>
      <c r="O42" s="3" t="str">
        <f>IF(AND(tblProducts[[#This Row],[Discount Category]]="High Discount",tblProducts[[#This Row],[Rating Category]]="Excellent"),"Yes","No")</f>
        <v>No</v>
      </c>
      <c r="P42" s="3" t="str">
        <f>IF(AND(tblProducts[[#This Row],[Rating Category]]="Poor",tblProducts[[#This Row],[Engagement Flag]]="Low Engagement"),"Yes","No")</f>
        <v>No</v>
      </c>
      <c r="Q42" t="s">
        <v>334</v>
      </c>
    </row>
    <row r="43" spans="1:17" x14ac:dyDescent="0.35">
      <c r="A43" t="s">
        <v>135</v>
      </c>
      <c r="B43" s="3">
        <v>238</v>
      </c>
      <c r="C43" s="3">
        <v>476</v>
      </c>
      <c r="D43" s="4">
        <v>0.5</v>
      </c>
      <c r="E43" s="5"/>
      <c r="F43" s="6"/>
      <c r="G43" s="3">
        <f>tblProducts[[#This Row],[Old Price]]-tblProducts[[#This Row],[Current Price]]</f>
        <v>238</v>
      </c>
      <c r="H43" s="3" t="str">
        <f>IF(tblProducts[[#This Row],[Rating]]="","Missing",IF(tblProducts[[#This Row],[Rating]]&lt;3,"Poor",IF(tblProducts[[#This Row],[Rating]]&lt;=4.5,"Average","Excellent")))</f>
        <v>Missing</v>
      </c>
      <c r="I43" s="3" t="str">
        <f>IF(tblProducts[[#This Row],[Discount]]="","Missing",IF(tblProducts[[#This Row],[Discount]]&lt;=20%,"Low Discount",IF(tblProducts[[#This Row],[Discount]]&lt;=40%,"Medium Discount","High Discount")))</f>
        <v>High Discount</v>
      </c>
      <c r="J43" s="3" t="str">
        <f>IF(tblProducts[[#This Row],[Current Price]]&lt;=Price_Q1,"Low Price",IF(tblProducts[[#This Row],[Current Price]]&lt;=Price_Q3,"Medium Price","High Price"))</f>
        <v>Low Price</v>
      </c>
      <c r="K43" s="3" t="str">
        <f>IF(tblProducts[[#This Row],[Review]]="","Missing",IF(tblProducts[[#This Row],[Review]]&gt;=Review_P75,"High Engagement","Low Engagement"))</f>
        <v>Missing</v>
      </c>
      <c r="L4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3" s="3" t="str">
        <f>IF(AND(tblProducts[[#This Row],[Rating Category]]="Excellent",tblProducts[[#This Row],[Engagement Flag]]="High Engagement"),"Yes","No")</f>
        <v>No</v>
      </c>
      <c r="N43" s="3" t="str">
        <f>IF(AND(tblProducts[[#This Row],[Discount Category]]="High Discount",tblProducts[[#This Row],[Rating Category]]="Poor"),"Yes","No")</f>
        <v>No</v>
      </c>
      <c r="O43" s="3" t="str">
        <f>IF(AND(tblProducts[[#This Row],[Discount Category]]="High Discount",tblProducts[[#This Row],[Rating Category]]="Excellent"),"Yes","No")</f>
        <v>No</v>
      </c>
      <c r="P43" s="3" t="str">
        <f>IF(AND(tblProducts[[#This Row],[Rating Category]]="Poor",tblProducts[[#This Row],[Engagement Flag]]="Low Engagement"),"Yes","No")</f>
        <v>No</v>
      </c>
      <c r="Q43" t="s">
        <v>334</v>
      </c>
    </row>
    <row r="44" spans="1:17" x14ac:dyDescent="0.35">
      <c r="A44" t="s">
        <v>138</v>
      </c>
      <c r="B44" s="3">
        <v>610</v>
      </c>
      <c r="C44" s="3">
        <v>1060</v>
      </c>
      <c r="D44" s="4">
        <v>0.42</v>
      </c>
      <c r="E44" s="5"/>
      <c r="F44" s="6"/>
      <c r="G44" s="3">
        <f>tblProducts[[#This Row],[Old Price]]-tblProducts[[#This Row],[Current Price]]</f>
        <v>450</v>
      </c>
      <c r="H44" s="3" t="str">
        <f>IF(tblProducts[[#This Row],[Rating]]="","Missing",IF(tblProducts[[#This Row],[Rating]]&lt;3,"Poor",IF(tblProducts[[#This Row],[Rating]]&lt;=4.5,"Average","Excellent")))</f>
        <v>Missing</v>
      </c>
      <c r="I44" s="3" t="str">
        <f>IF(tblProducts[[#This Row],[Discount]]="","Missing",IF(tblProducts[[#This Row],[Discount]]&lt;=20%,"Low Discount",IF(tblProducts[[#This Row],[Discount]]&lt;=40%,"Medium Discount","High Discount")))</f>
        <v>High Discount</v>
      </c>
      <c r="J44" s="3" t="str">
        <f>IF(tblProducts[[#This Row],[Current Price]]&lt;=Price_Q1,"Low Price",IF(tblProducts[[#This Row],[Current Price]]&lt;=Price_Q3,"Medium Price","High Price"))</f>
        <v>Medium Price</v>
      </c>
      <c r="K44" s="3" t="str">
        <f>IF(tblProducts[[#This Row],[Review]]="","Missing",IF(tblProducts[[#This Row],[Review]]&gt;=Review_P75,"High Engagement","Low Engagement"))</f>
        <v>Missing</v>
      </c>
      <c r="L4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4" s="3" t="str">
        <f>IF(AND(tblProducts[[#This Row],[Rating Category]]="Excellent",tblProducts[[#This Row],[Engagement Flag]]="High Engagement"),"Yes","No")</f>
        <v>No</v>
      </c>
      <c r="N44" s="3" t="str">
        <f>IF(AND(tblProducts[[#This Row],[Discount Category]]="High Discount",tblProducts[[#This Row],[Rating Category]]="Poor"),"Yes","No")</f>
        <v>No</v>
      </c>
      <c r="O44" s="3" t="str">
        <f>IF(AND(tblProducts[[#This Row],[Discount Category]]="High Discount",tblProducts[[#This Row],[Rating Category]]="Excellent"),"Yes","No")</f>
        <v>No</v>
      </c>
      <c r="P44" s="3" t="str">
        <f>IF(AND(tblProducts[[#This Row],[Rating Category]]="Poor",tblProducts[[#This Row],[Engagement Flag]]="Low Engagement"),"Yes","No")</f>
        <v>No</v>
      </c>
      <c r="Q44" t="s">
        <v>334</v>
      </c>
    </row>
    <row r="45" spans="1:17" x14ac:dyDescent="0.35">
      <c r="A45" t="s">
        <v>141</v>
      </c>
      <c r="B45" s="3">
        <v>2132</v>
      </c>
      <c r="C45" s="3">
        <v>2169</v>
      </c>
      <c r="D45" s="4">
        <v>0.02</v>
      </c>
      <c r="E45" s="5"/>
      <c r="F45" s="6"/>
      <c r="G45" s="3">
        <f>tblProducts[[#This Row],[Old Price]]-tblProducts[[#This Row],[Current Price]]</f>
        <v>37</v>
      </c>
      <c r="H45" s="3" t="str">
        <f>IF(tblProducts[[#This Row],[Rating]]="","Missing",IF(tblProducts[[#This Row],[Rating]]&lt;3,"Poor",IF(tblProducts[[#This Row],[Rating]]&lt;=4.5,"Average","Excellent")))</f>
        <v>Missing</v>
      </c>
      <c r="I45" s="3" t="str">
        <f>IF(tblProducts[[#This Row],[Discount]]="","Missing",IF(tblProducts[[#This Row],[Discount]]&lt;=20%,"Low Discount",IF(tblProducts[[#This Row],[Discount]]&lt;=40%,"Medium Discount","High Discount")))</f>
        <v>Low Discount</v>
      </c>
      <c r="J45" s="3" t="str">
        <f>IF(tblProducts[[#This Row],[Current Price]]&lt;=Price_Q1,"Low Price",IF(tblProducts[[#This Row],[Current Price]]&lt;=Price_Q3,"Medium Price","High Price"))</f>
        <v>High Price</v>
      </c>
      <c r="K45" s="3" t="str">
        <f>IF(tblProducts[[#This Row],[Review]]="","Missing",IF(tblProducts[[#This Row],[Review]]&gt;=Review_P75,"High Engagement","Low Engagement"))</f>
        <v>Missing</v>
      </c>
      <c r="L4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5" s="3" t="str">
        <f>IF(AND(tblProducts[[#This Row],[Rating Category]]="Excellent",tblProducts[[#This Row],[Engagement Flag]]="High Engagement"),"Yes","No")</f>
        <v>No</v>
      </c>
      <c r="N45" s="3" t="str">
        <f>IF(AND(tblProducts[[#This Row],[Discount Category]]="High Discount",tblProducts[[#This Row],[Rating Category]]="Poor"),"Yes","No")</f>
        <v>No</v>
      </c>
      <c r="O45" s="3" t="str">
        <f>IF(AND(tblProducts[[#This Row],[Discount Category]]="High Discount",tblProducts[[#This Row],[Rating Category]]="Excellent"),"Yes","No")</f>
        <v>No</v>
      </c>
      <c r="P45" s="3" t="str">
        <f>IF(AND(tblProducts[[#This Row],[Rating Category]]="Poor",tblProducts[[#This Row],[Engagement Flag]]="Low Engagement"),"Yes","No")</f>
        <v>No</v>
      </c>
      <c r="Q45" t="s">
        <v>334</v>
      </c>
    </row>
    <row r="46" spans="1:17" x14ac:dyDescent="0.35">
      <c r="A46" t="s">
        <v>144</v>
      </c>
      <c r="B46" s="3">
        <v>999</v>
      </c>
      <c r="C46" s="3">
        <v>2000</v>
      </c>
      <c r="D46" s="4">
        <v>0.5</v>
      </c>
      <c r="E46" s="5"/>
      <c r="F46" s="6"/>
      <c r="G46" s="3">
        <f>tblProducts[[#This Row],[Old Price]]-tblProducts[[#This Row],[Current Price]]</f>
        <v>1001</v>
      </c>
      <c r="H46" s="3" t="str">
        <f>IF(tblProducts[[#This Row],[Rating]]="","Missing",IF(tblProducts[[#This Row],[Rating]]&lt;3,"Poor",IF(tblProducts[[#This Row],[Rating]]&lt;=4.5,"Average","Excellent")))</f>
        <v>Missing</v>
      </c>
      <c r="I46" s="3" t="str">
        <f>IF(tblProducts[[#This Row],[Discount]]="","Missing",IF(tblProducts[[#This Row],[Discount]]&lt;=20%,"Low Discount",IF(tblProducts[[#This Row],[Discount]]&lt;=40%,"Medium Discount","High Discount")))</f>
        <v>High Discount</v>
      </c>
      <c r="J46" s="3" t="str">
        <f>IF(tblProducts[[#This Row],[Current Price]]&lt;=Price_Q1,"Low Price",IF(tblProducts[[#This Row],[Current Price]]&lt;=Price_Q3,"Medium Price","High Price"))</f>
        <v>Medium Price</v>
      </c>
      <c r="K46" s="3" t="str">
        <f>IF(tblProducts[[#This Row],[Review]]="","Missing",IF(tblProducts[[#This Row],[Review]]&gt;=Review_P75,"High Engagement","Low Engagement"))</f>
        <v>Missing</v>
      </c>
      <c r="L4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6" s="3" t="str">
        <f>IF(AND(tblProducts[[#This Row],[Rating Category]]="Excellent",tblProducts[[#This Row],[Engagement Flag]]="High Engagement"),"Yes","No")</f>
        <v>No</v>
      </c>
      <c r="N46" s="3" t="str">
        <f>IF(AND(tblProducts[[#This Row],[Discount Category]]="High Discount",tblProducts[[#This Row],[Rating Category]]="Poor"),"Yes","No")</f>
        <v>No</v>
      </c>
      <c r="O46" s="3" t="str">
        <f>IF(AND(tblProducts[[#This Row],[Discount Category]]="High Discount",tblProducts[[#This Row],[Rating Category]]="Excellent"),"Yes","No")</f>
        <v>No</v>
      </c>
      <c r="P46" s="3" t="str">
        <f>IF(AND(tblProducts[[#This Row],[Rating Category]]="Poor",tblProducts[[#This Row],[Engagement Flag]]="Low Engagement"),"Yes","No")</f>
        <v>No</v>
      </c>
      <c r="Q46" t="s">
        <v>334</v>
      </c>
    </row>
    <row r="47" spans="1:17" x14ac:dyDescent="0.35">
      <c r="A47" t="s">
        <v>146</v>
      </c>
      <c r="B47" s="3">
        <v>1190</v>
      </c>
      <c r="C47" s="3">
        <v>1785</v>
      </c>
      <c r="D47" s="4">
        <v>0.33</v>
      </c>
      <c r="E47" s="5"/>
      <c r="F47" s="6"/>
      <c r="G47" s="3">
        <f>tblProducts[[#This Row],[Old Price]]-tblProducts[[#This Row],[Current Price]]</f>
        <v>595</v>
      </c>
      <c r="H47" s="3" t="str">
        <f>IF(tblProducts[[#This Row],[Rating]]="","Missing",IF(tblProducts[[#This Row],[Rating]]&lt;3,"Poor",IF(tblProducts[[#This Row],[Rating]]&lt;=4.5,"Average","Excellent")))</f>
        <v>Missing</v>
      </c>
      <c r="I47" s="3" t="str">
        <f>IF(tblProducts[[#This Row],[Discount]]="","Missing",IF(tblProducts[[#This Row],[Discount]]&lt;=20%,"Low Discount",IF(tblProducts[[#This Row],[Discount]]&lt;=40%,"Medium Discount","High Discount")))</f>
        <v>Medium Discount</v>
      </c>
      <c r="J47" s="3" t="str">
        <f>IF(tblProducts[[#This Row],[Current Price]]&lt;=Price_Q1,"Low Price",IF(tblProducts[[#This Row],[Current Price]]&lt;=Price_Q3,"Medium Price","High Price"))</f>
        <v>Medium Price</v>
      </c>
      <c r="K47" s="3" t="str">
        <f>IF(tblProducts[[#This Row],[Review]]="","Missing",IF(tblProducts[[#This Row],[Review]]&gt;=Review_P75,"High Engagement","Low Engagement"))</f>
        <v>Missing</v>
      </c>
      <c r="L4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7" s="3" t="str">
        <f>IF(AND(tblProducts[[#This Row],[Rating Category]]="Excellent",tblProducts[[#This Row],[Engagement Flag]]="High Engagement"),"Yes","No")</f>
        <v>No</v>
      </c>
      <c r="N47" s="3" t="str">
        <f>IF(AND(tblProducts[[#This Row],[Discount Category]]="High Discount",tblProducts[[#This Row],[Rating Category]]="Poor"),"Yes","No")</f>
        <v>No</v>
      </c>
      <c r="O47" s="3" t="str">
        <f>IF(AND(tblProducts[[#This Row],[Discount Category]]="High Discount",tblProducts[[#This Row],[Rating Category]]="Excellent"),"Yes","No")</f>
        <v>No</v>
      </c>
      <c r="P47" s="3" t="str">
        <f>IF(AND(tblProducts[[#This Row],[Rating Category]]="Poor",tblProducts[[#This Row],[Engagement Flag]]="Low Engagement"),"Yes","No")</f>
        <v>No</v>
      </c>
      <c r="Q47" t="s">
        <v>334</v>
      </c>
    </row>
    <row r="48" spans="1:17" x14ac:dyDescent="0.35">
      <c r="A48" t="s">
        <v>149</v>
      </c>
      <c r="B48" s="3">
        <v>671</v>
      </c>
      <c r="C48" s="3">
        <v>1316</v>
      </c>
      <c r="D48" s="4">
        <v>0.49</v>
      </c>
      <c r="E48" s="5"/>
      <c r="F48" s="6"/>
      <c r="G48" s="3">
        <f>tblProducts[[#This Row],[Old Price]]-tblProducts[[#This Row],[Current Price]]</f>
        <v>645</v>
      </c>
      <c r="H48" s="3" t="str">
        <f>IF(tblProducts[[#This Row],[Rating]]="","Missing",IF(tblProducts[[#This Row],[Rating]]&lt;3,"Poor",IF(tblProducts[[#This Row],[Rating]]&lt;=4.5,"Average","Excellent")))</f>
        <v>Missing</v>
      </c>
      <c r="I48" s="3" t="str">
        <f>IF(tblProducts[[#This Row],[Discount]]="","Missing",IF(tblProducts[[#This Row],[Discount]]&lt;=20%,"Low Discount",IF(tblProducts[[#This Row],[Discount]]&lt;=40%,"Medium Discount","High Discount")))</f>
        <v>High Discount</v>
      </c>
      <c r="J48" s="3" t="str">
        <f>IF(tblProducts[[#This Row],[Current Price]]&lt;=Price_Q1,"Low Price",IF(tblProducts[[#This Row],[Current Price]]&lt;=Price_Q3,"Medium Price","High Price"))</f>
        <v>Medium Price</v>
      </c>
      <c r="K48" s="3" t="str">
        <f>IF(tblProducts[[#This Row],[Review]]="","Missing",IF(tblProducts[[#This Row],[Review]]&gt;=Review_P75,"High Engagement","Low Engagement"))</f>
        <v>Missing</v>
      </c>
      <c r="L4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8" s="3" t="str">
        <f>IF(AND(tblProducts[[#This Row],[Rating Category]]="Excellent",tblProducts[[#This Row],[Engagement Flag]]="High Engagement"),"Yes","No")</f>
        <v>No</v>
      </c>
      <c r="N48" s="3" t="str">
        <f>IF(AND(tblProducts[[#This Row],[Discount Category]]="High Discount",tblProducts[[#This Row],[Rating Category]]="Poor"),"Yes","No")</f>
        <v>No</v>
      </c>
      <c r="O48" s="3" t="str">
        <f>IF(AND(tblProducts[[#This Row],[Discount Category]]="High Discount",tblProducts[[#This Row],[Rating Category]]="Excellent"),"Yes","No")</f>
        <v>No</v>
      </c>
      <c r="P48" s="3" t="str">
        <f>IF(AND(tblProducts[[#This Row],[Rating Category]]="Poor",tblProducts[[#This Row],[Engagement Flag]]="Low Engagement"),"Yes","No")</f>
        <v>No</v>
      </c>
      <c r="Q48" t="s">
        <v>334</v>
      </c>
    </row>
    <row r="49" spans="1:17" x14ac:dyDescent="0.35">
      <c r="A49" t="s">
        <v>152</v>
      </c>
      <c r="B49" s="3">
        <v>1200</v>
      </c>
      <c r="C49" s="3">
        <v>1950</v>
      </c>
      <c r="D49" s="4">
        <v>0.38</v>
      </c>
      <c r="E49" s="5"/>
      <c r="F49" s="6"/>
      <c r="G49" s="3">
        <f>tblProducts[[#This Row],[Old Price]]-tblProducts[[#This Row],[Current Price]]</f>
        <v>750</v>
      </c>
      <c r="H49" s="3" t="str">
        <f>IF(tblProducts[[#This Row],[Rating]]="","Missing",IF(tblProducts[[#This Row],[Rating]]&lt;3,"Poor",IF(tblProducts[[#This Row],[Rating]]&lt;=4.5,"Average","Excellent")))</f>
        <v>Missing</v>
      </c>
      <c r="I49" s="3" t="str">
        <f>IF(tblProducts[[#This Row],[Discount]]="","Missing",IF(tblProducts[[#This Row],[Discount]]&lt;=20%,"Low Discount",IF(tblProducts[[#This Row],[Discount]]&lt;=40%,"Medium Discount","High Discount")))</f>
        <v>Medium Discount</v>
      </c>
      <c r="J49" s="3" t="str">
        <f>IF(tblProducts[[#This Row],[Current Price]]&lt;=Price_Q1,"Low Price",IF(tblProducts[[#This Row],[Current Price]]&lt;=Price_Q3,"Medium Price","High Price"))</f>
        <v>Medium Price</v>
      </c>
      <c r="K49" s="3" t="str">
        <f>IF(tblProducts[[#This Row],[Review]]="","Missing",IF(tblProducts[[#This Row],[Review]]&gt;=Review_P75,"High Engagement","Low Engagement"))</f>
        <v>Missing</v>
      </c>
      <c r="L4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49" s="3" t="str">
        <f>IF(AND(tblProducts[[#This Row],[Rating Category]]="Excellent",tblProducts[[#This Row],[Engagement Flag]]="High Engagement"),"Yes","No")</f>
        <v>No</v>
      </c>
      <c r="N49" s="3" t="str">
        <f>IF(AND(tblProducts[[#This Row],[Discount Category]]="High Discount",tblProducts[[#This Row],[Rating Category]]="Poor"),"Yes","No")</f>
        <v>No</v>
      </c>
      <c r="O49" s="3" t="str">
        <f>IF(AND(tblProducts[[#This Row],[Discount Category]]="High Discount",tblProducts[[#This Row],[Rating Category]]="Excellent"),"Yes","No")</f>
        <v>No</v>
      </c>
      <c r="P49" s="3" t="str">
        <f>IF(AND(tblProducts[[#This Row],[Rating Category]]="Poor",tblProducts[[#This Row],[Engagement Flag]]="Low Engagement"),"Yes","No")</f>
        <v>No</v>
      </c>
      <c r="Q49" t="s">
        <v>334</v>
      </c>
    </row>
    <row r="50" spans="1:17" x14ac:dyDescent="0.35">
      <c r="A50" t="s">
        <v>155</v>
      </c>
      <c r="B50" s="3">
        <v>199</v>
      </c>
      <c r="C50" s="3">
        <v>504</v>
      </c>
      <c r="D50" s="4">
        <v>0.61</v>
      </c>
      <c r="E50" s="5"/>
      <c r="F50" s="6"/>
      <c r="G50" s="3">
        <f>tblProducts[[#This Row],[Old Price]]-tblProducts[[#This Row],[Current Price]]</f>
        <v>305</v>
      </c>
      <c r="H50" s="3" t="str">
        <f>IF(tblProducts[[#This Row],[Rating]]="","Missing",IF(tblProducts[[#This Row],[Rating]]&lt;3,"Poor",IF(tblProducts[[#This Row],[Rating]]&lt;=4.5,"Average","Excellent")))</f>
        <v>Missing</v>
      </c>
      <c r="I50" s="3" t="str">
        <f>IF(tblProducts[[#This Row],[Discount]]="","Missing",IF(tblProducts[[#This Row],[Discount]]&lt;=20%,"Low Discount",IF(tblProducts[[#This Row],[Discount]]&lt;=40%,"Medium Discount","High Discount")))</f>
        <v>High Discount</v>
      </c>
      <c r="J50" s="3" t="str">
        <f>IF(tblProducts[[#This Row],[Current Price]]&lt;=Price_Q1,"Low Price",IF(tblProducts[[#This Row],[Current Price]]&lt;=Price_Q3,"Medium Price","High Price"))</f>
        <v>Low Price</v>
      </c>
      <c r="K50" s="3" t="str">
        <f>IF(tblProducts[[#This Row],[Review]]="","Missing",IF(tblProducts[[#This Row],[Review]]&gt;=Review_P75,"High Engagement","Low Engagement"))</f>
        <v>Missing</v>
      </c>
      <c r="L5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0" s="3" t="str">
        <f>IF(AND(tblProducts[[#This Row],[Rating Category]]="Excellent",tblProducts[[#This Row],[Engagement Flag]]="High Engagement"),"Yes","No")</f>
        <v>No</v>
      </c>
      <c r="N50" s="3" t="str">
        <f>IF(AND(tblProducts[[#This Row],[Discount Category]]="High Discount",tblProducts[[#This Row],[Rating Category]]="Poor"),"Yes","No")</f>
        <v>No</v>
      </c>
      <c r="O50" s="3" t="str">
        <f>IF(AND(tblProducts[[#This Row],[Discount Category]]="High Discount",tblProducts[[#This Row],[Rating Category]]="Excellent"),"Yes","No")</f>
        <v>No</v>
      </c>
      <c r="P50" s="3" t="str">
        <f>IF(AND(tblProducts[[#This Row],[Rating Category]]="Poor",tblProducts[[#This Row],[Engagement Flag]]="Low Engagement"),"Yes","No")</f>
        <v>No</v>
      </c>
      <c r="Q50" t="s">
        <v>334</v>
      </c>
    </row>
    <row r="51" spans="1:17" x14ac:dyDescent="0.35">
      <c r="A51" t="s">
        <v>158</v>
      </c>
      <c r="B51" s="3">
        <v>299</v>
      </c>
      <c r="C51" s="3">
        <v>600</v>
      </c>
      <c r="D51" s="4">
        <v>0.5</v>
      </c>
      <c r="E51" s="5"/>
      <c r="F51" s="6"/>
      <c r="G51" s="3">
        <f>tblProducts[[#This Row],[Old Price]]-tblProducts[[#This Row],[Current Price]]</f>
        <v>301</v>
      </c>
      <c r="H51" s="3" t="str">
        <f>IF(tblProducts[[#This Row],[Rating]]="","Missing",IF(tblProducts[[#This Row],[Rating]]&lt;3,"Poor",IF(tblProducts[[#This Row],[Rating]]&lt;=4.5,"Average","Excellent")))</f>
        <v>Missing</v>
      </c>
      <c r="I51" s="3" t="str">
        <f>IF(tblProducts[[#This Row],[Discount]]="","Missing",IF(tblProducts[[#This Row],[Discount]]&lt;=20%,"Low Discount",IF(tblProducts[[#This Row],[Discount]]&lt;=40%,"Medium Discount","High Discount")))</f>
        <v>High Discount</v>
      </c>
      <c r="J51" s="3" t="str">
        <f>IF(tblProducts[[#This Row],[Current Price]]&lt;=Price_Q1,"Low Price",IF(tblProducts[[#This Row],[Current Price]]&lt;=Price_Q3,"Medium Price","High Price"))</f>
        <v>Low Price</v>
      </c>
      <c r="K51" s="3" t="str">
        <f>IF(tblProducts[[#This Row],[Review]]="","Missing",IF(tblProducts[[#This Row],[Review]]&gt;=Review_P75,"High Engagement","Low Engagement"))</f>
        <v>Missing</v>
      </c>
      <c r="L5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1" s="3" t="str">
        <f>IF(AND(tblProducts[[#This Row],[Rating Category]]="Excellent",tblProducts[[#This Row],[Engagement Flag]]="High Engagement"),"Yes","No")</f>
        <v>No</v>
      </c>
      <c r="N51" s="3" t="str">
        <f>IF(AND(tblProducts[[#This Row],[Discount Category]]="High Discount",tblProducts[[#This Row],[Rating Category]]="Poor"),"Yes","No")</f>
        <v>No</v>
      </c>
      <c r="O51" s="3" t="str">
        <f>IF(AND(tblProducts[[#This Row],[Discount Category]]="High Discount",tblProducts[[#This Row],[Rating Category]]="Excellent"),"Yes","No")</f>
        <v>No</v>
      </c>
      <c r="P51" s="3" t="str">
        <f>IF(AND(tblProducts[[#This Row],[Rating Category]]="Poor",tblProducts[[#This Row],[Engagement Flag]]="Low Engagement"),"Yes","No")</f>
        <v>No</v>
      </c>
      <c r="Q51" t="s">
        <v>334</v>
      </c>
    </row>
    <row r="52" spans="1:17" x14ac:dyDescent="0.35">
      <c r="A52" t="s">
        <v>161</v>
      </c>
      <c r="B52" s="3">
        <v>1660</v>
      </c>
      <c r="C52" s="3">
        <v>1699</v>
      </c>
      <c r="D52" s="4">
        <v>0.02</v>
      </c>
      <c r="E52" s="5"/>
      <c r="F52" s="6"/>
      <c r="G52" s="3">
        <f>tblProducts[[#This Row],[Old Price]]-tblProducts[[#This Row],[Current Price]]</f>
        <v>39</v>
      </c>
      <c r="H52" s="3" t="str">
        <f>IF(tblProducts[[#This Row],[Rating]]="","Missing",IF(tblProducts[[#This Row],[Rating]]&lt;3,"Poor",IF(tblProducts[[#This Row],[Rating]]&lt;=4.5,"Average","Excellent")))</f>
        <v>Missing</v>
      </c>
      <c r="I52" s="3" t="str">
        <f>IF(tblProducts[[#This Row],[Discount]]="","Missing",IF(tblProducts[[#This Row],[Discount]]&lt;=20%,"Low Discount",IF(tblProducts[[#This Row],[Discount]]&lt;=40%,"Medium Discount","High Discount")))</f>
        <v>Low Discount</v>
      </c>
      <c r="J52" s="3" t="str">
        <f>IF(tblProducts[[#This Row],[Current Price]]&lt;=Price_Q1,"Low Price",IF(tblProducts[[#This Row],[Current Price]]&lt;=Price_Q3,"Medium Price","High Price"))</f>
        <v>Medium Price</v>
      </c>
      <c r="K52" s="3" t="str">
        <f>IF(tblProducts[[#This Row],[Review]]="","Missing",IF(tblProducts[[#This Row],[Review]]&gt;=Review_P75,"High Engagement","Low Engagement"))</f>
        <v>Missing</v>
      </c>
      <c r="L5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2" s="3" t="str">
        <f>IF(AND(tblProducts[[#This Row],[Rating Category]]="Excellent",tblProducts[[#This Row],[Engagement Flag]]="High Engagement"),"Yes","No")</f>
        <v>No</v>
      </c>
      <c r="N52" s="3" t="str">
        <f>IF(AND(tblProducts[[#This Row],[Discount Category]]="High Discount",tblProducts[[#This Row],[Rating Category]]="Poor"),"Yes","No")</f>
        <v>No</v>
      </c>
      <c r="O52" s="3" t="str">
        <f>IF(AND(tblProducts[[#This Row],[Discount Category]]="High Discount",tblProducts[[#This Row],[Rating Category]]="Excellent"),"Yes","No")</f>
        <v>No</v>
      </c>
      <c r="P52" s="3" t="str">
        <f>IF(AND(tblProducts[[#This Row],[Rating Category]]="Poor",tblProducts[[#This Row],[Engagement Flag]]="Low Engagement"),"Yes","No")</f>
        <v>No</v>
      </c>
      <c r="Q52" t="s">
        <v>334</v>
      </c>
    </row>
    <row r="53" spans="1:17" x14ac:dyDescent="0.35">
      <c r="A53" t="s">
        <v>164</v>
      </c>
      <c r="B53" s="3">
        <v>299</v>
      </c>
      <c r="C53" s="3">
        <v>384</v>
      </c>
      <c r="D53" s="4">
        <v>0.22</v>
      </c>
      <c r="E53" s="5"/>
      <c r="F53" s="6"/>
      <c r="G53" s="3">
        <f>tblProducts[[#This Row],[Old Price]]-tblProducts[[#This Row],[Current Price]]</f>
        <v>85</v>
      </c>
      <c r="H53" s="3" t="str">
        <f>IF(tblProducts[[#This Row],[Rating]]="","Missing",IF(tblProducts[[#This Row],[Rating]]&lt;3,"Poor",IF(tblProducts[[#This Row],[Rating]]&lt;=4.5,"Average","Excellent")))</f>
        <v>Missing</v>
      </c>
      <c r="I53" s="3" t="str">
        <f>IF(tblProducts[[#This Row],[Discount]]="","Missing",IF(tblProducts[[#This Row],[Discount]]&lt;=20%,"Low Discount",IF(tblProducts[[#This Row],[Discount]]&lt;=40%,"Medium Discount","High Discount")))</f>
        <v>Medium Discount</v>
      </c>
      <c r="J53" s="3" t="str">
        <f>IF(tblProducts[[#This Row],[Current Price]]&lt;=Price_Q1,"Low Price",IF(tblProducts[[#This Row],[Current Price]]&lt;=Price_Q3,"Medium Price","High Price"))</f>
        <v>Low Price</v>
      </c>
      <c r="K53" s="3" t="str">
        <f>IF(tblProducts[[#This Row],[Review]]="","Missing",IF(tblProducts[[#This Row],[Review]]&gt;=Review_P75,"High Engagement","Low Engagement"))</f>
        <v>Missing</v>
      </c>
      <c r="L5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3" s="3" t="str">
        <f>IF(AND(tblProducts[[#This Row],[Rating Category]]="Excellent",tblProducts[[#This Row],[Engagement Flag]]="High Engagement"),"Yes","No")</f>
        <v>No</v>
      </c>
      <c r="N53" s="3" t="str">
        <f>IF(AND(tblProducts[[#This Row],[Discount Category]]="High Discount",tblProducts[[#This Row],[Rating Category]]="Poor"),"Yes","No")</f>
        <v>No</v>
      </c>
      <c r="O53" s="3" t="str">
        <f>IF(AND(tblProducts[[#This Row],[Discount Category]]="High Discount",tblProducts[[#This Row],[Rating Category]]="Excellent"),"Yes","No")</f>
        <v>No</v>
      </c>
      <c r="P53" s="3" t="str">
        <f>IF(AND(tblProducts[[#This Row],[Rating Category]]="Poor",tblProducts[[#This Row],[Engagement Flag]]="Low Engagement"),"Yes","No")</f>
        <v>No</v>
      </c>
      <c r="Q53" t="s">
        <v>334</v>
      </c>
    </row>
    <row r="54" spans="1:17" x14ac:dyDescent="0.35">
      <c r="A54" t="s">
        <v>166</v>
      </c>
      <c r="B54" s="3">
        <v>1459</v>
      </c>
      <c r="C54" s="3">
        <v>1499</v>
      </c>
      <c r="D54" s="4">
        <v>0.03</v>
      </c>
      <c r="E54" s="5"/>
      <c r="F54" s="6"/>
      <c r="G54" s="3">
        <f>tblProducts[[#This Row],[Old Price]]-tblProducts[[#This Row],[Current Price]]</f>
        <v>40</v>
      </c>
      <c r="H54" s="3" t="str">
        <f>IF(tblProducts[[#This Row],[Rating]]="","Missing",IF(tblProducts[[#This Row],[Rating]]&lt;3,"Poor",IF(tblProducts[[#This Row],[Rating]]&lt;=4.5,"Average","Excellent")))</f>
        <v>Missing</v>
      </c>
      <c r="I54" s="3" t="str">
        <f>IF(tblProducts[[#This Row],[Discount]]="","Missing",IF(tblProducts[[#This Row],[Discount]]&lt;=20%,"Low Discount",IF(tblProducts[[#This Row],[Discount]]&lt;=40%,"Medium Discount","High Discount")))</f>
        <v>Low Discount</v>
      </c>
      <c r="J54" s="3" t="str">
        <f>IF(tblProducts[[#This Row],[Current Price]]&lt;=Price_Q1,"Low Price",IF(tblProducts[[#This Row],[Current Price]]&lt;=Price_Q3,"Medium Price","High Price"))</f>
        <v>Medium Price</v>
      </c>
      <c r="K54" s="3" t="str">
        <f>IF(tblProducts[[#This Row],[Review]]="","Missing",IF(tblProducts[[#This Row],[Review]]&gt;=Review_P75,"High Engagement","Low Engagement"))</f>
        <v>Missing</v>
      </c>
      <c r="L5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4" s="3" t="str">
        <f>IF(AND(tblProducts[[#This Row],[Rating Category]]="Excellent",tblProducts[[#This Row],[Engagement Flag]]="High Engagement"),"Yes","No")</f>
        <v>No</v>
      </c>
      <c r="N54" s="3" t="str">
        <f>IF(AND(tblProducts[[#This Row],[Discount Category]]="High Discount",tblProducts[[#This Row],[Rating Category]]="Poor"),"Yes","No")</f>
        <v>No</v>
      </c>
      <c r="O54" s="3" t="str">
        <f>IF(AND(tblProducts[[#This Row],[Discount Category]]="High Discount",tblProducts[[#This Row],[Rating Category]]="Excellent"),"Yes","No")</f>
        <v>No</v>
      </c>
      <c r="P54" s="3" t="str">
        <f>IF(AND(tblProducts[[#This Row],[Rating Category]]="Poor",tblProducts[[#This Row],[Engagement Flag]]="Low Engagement"),"Yes","No")</f>
        <v>No</v>
      </c>
      <c r="Q54" t="s">
        <v>334</v>
      </c>
    </row>
    <row r="55" spans="1:17" x14ac:dyDescent="0.35">
      <c r="A55" t="s">
        <v>169</v>
      </c>
      <c r="B55" s="3">
        <v>799</v>
      </c>
      <c r="C55" s="3">
        <v>1343</v>
      </c>
      <c r="D55" s="4">
        <v>0.41</v>
      </c>
      <c r="E55" s="5"/>
      <c r="F55" s="6"/>
      <c r="G55" s="3">
        <f>tblProducts[[#This Row],[Old Price]]-tblProducts[[#This Row],[Current Price]]</f>
        <v>544</v>
      </c>
      <c r="H55" s="3" t="str">
        <f>IF(tblProducts[[#This Row],[Rating]]="","Missing",IF(tblProducts[[#This Row],[Rating]]&lt;3,"Poor",IF(tblProducts[[#This Row],[Rating]]&lt;=4.5,"Average","Excellent")))</f>
        <v>Missing</v>
      </c>
      <c r="I55" s="3" t="str">
        <f>IF(tblProducts[[#This Row],[Discount]]="","Missing",IF(tblProducts[[#This Row],[Discount]]&lt;=20%,"Low Discount",IF(tblProducts[[#This Row],[Discount]]&lt;=40%,"Medium Discount","High Discount")))</f>
        <v>High Discount</v>
      </c>
      <c r="J55" s="3" t="str">
        <f>IF(tblProducts[[#This Row],[Current Price]]&lt;=Price_Q1,"Low Price",IF(tblProducts[[#This Row],[Current Price]]&lt;=Price_Q3,"Medium Price","High Price"))</f>
        <v>Medium Price</v>
      </c>
      <c r="K55" s="3" t="str">
        <f>IF(tblProducts[[#This Row],[Review]]="","Missing",IF(tblProducts[[#This Row],[Review]]&gt;=Review_P75,"High Engagement","Low Engagement"))</f>
        <v>Missing</v>
      </c>
      <c r="L5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5" s="3" t="str">
        <f>IF(AND(tblProducts[[#This Row],[Rating Category]]="Excellent",tblProducts[[#This Row],[Engagement Flag]]="High Engagement"),"Yes","No")</f>
        <v>No</v>
      </c>
      <c r="N55" s="3" t="str">
        <f>IF(AND(tblProducts[[#This Row],[Discount Category]]="High Discount",tblProducts[[#This Row],[Rating Category]]="Poor"),"Yes","No")</f>
        <v>No</v>
      </c>
      <c r="O55" s="3" t="str">
        <f>IF(AND(tblProducts[[#This Row],[Discount Category]]="High Discount",tblProducts[[#This Row],[Rating Category]]="Excellent"),"Yes","No")</f>
        <v>No</v>
      </c>
      <c r="P55" s="3" t="str">
        <f>IF(AND(tblProducts[[#This Row],[Rating Category]]="Poor",tblProducts[[#This Row],[Engagement Flag]]="Low Engagement"),"Yes","No")</f>
        <v>No</v>
      </c>
      <c r="Q55" t="s">
        <v>334</v>
      </c>
    </row>
    <row r="56" spans="1:17" x14ac:dyDescent="0.35">
      <c r="A56" t="s">
        <v>171</v>
      </c>
      <c r="B56" s="3">
        <v>499</v>
      </c>
      <c r="C56" s="3">
        <v>900</v>
      </c>
      <c r="D56" s="4">
        <v>0.45</v>
      </c>
      <c r="E56" s="5"/>
      <c r="F56" s="6"/>
      <c r="G56" s="3">
        <f>tblProducts[[#This Row],[Old Price]]-tblProducts[[#This Row],[Current Price]]</f>
        <v>401</v>
      </c>
      <c r="H56" s="3" t="str">
        <f>IF(tblProducts[[#This Row],[Rating]]="","Missing",IF(tblProducts[[#This Row],[Rating]]&lt;3,"Poor",IF(tblProducts[[#This Row],[Rating]]&lt;=4.5,"Average","Excellent")))</f>
        <v>Missing</v>
      </c>
      <c r="I56" s="3" t="str">
        <f>IF(tblProducts[[#This Row],[Discount]]="","Missing",IF(tblProducts[[#This Row],[Discount]]&lt;=20%,"Low Discount",IF(tblProducts[[#This Row],[Discount]]&lt;=40%,"Medium Discount","High Discount")))</f>
        <v>High Discount</v>
      </c>
      <c r="J56" s="3" t="str">
        <f>IF(tblProducts[[#This Row],[Current Price]]&lt;=Price_Q1,"Low Price",IF(tblProducts[[#This Row],[Current Price]]&lt;=Price_Q3,"Medium Price","High Price"))</f>
        <v>Medium Price</v>
      </c>
      <c r="K56" s="3" t="str">
        <f>IF(tblProducts[[#This Row],[Review]]="","Missing",IF(tblProducts[[#This Row],[Review]]&gt;=Review_P75,"High Engagement","Low Engagement"))</f>
        <v>Missing</v>
      </c>
      <c r="L5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6" s="3" t="str">
        <f>IF(AND(tblProducts[[#This Row],[Rating Category]]="Excellent",tblProducts[[#This Row],[Engagement Flag]]="High Engagement"),"Yes","No")</f>
        <v>No</v>
      </c>
      <c r="N56" s="3" t="str">
        <f>IF(AND(tblProducts[[#This Row],[Discount Category]]="High Discount",tblProducts[[#This Row],[Rating Category]]="Poor"),"Yes","No")</f>
        <v>No</v>
      </c>
      <c r="O56" s="3" t="str">
        <f>IF(AND(tblProducts[[#This Row],[Discount Category]]="High Discount",tblProducts[[#This Row],[Rating Category]]="Excellent"),"Yes","No")</f>
        <v>No</v>
      </c>
      <c r="P56" s="3" t="str">
        <f>IF(AND(tblProducts[[#This Row],[Rating Category]]="Poor",tblProducts[[#This Row],[Engagement Flag]]="Low Engagement"),"Yes","No")</f>
        <v>No</v>
      </c>
      <c r="Q56" t="s">
        <v>334</v>
      </c>
    </row>
    <row r="57" spans="1:17" x14ac:dyDescent="0.35">
      <c r="A57" t="s">
        <v>174</v>
      </c>
      <c r="B57" s="3">
        <v>699</v>
      </c>
      <c r="C57" s="3">
        <v>1343</v>
      </c>
      <c r="D57" s="4">
        <v>0.48</v>
      </c>
      <c r="E57" s="5"/>
      <c r="F57" s="6"/>
      <c r="G57" s="3">
        <f>tblProducts[[#This Row],[Old Price]]-tblProducts[[#This Row],[Current Price]]</f>
        <v>644</v>
      </c>
      <c r="H57" s="3" t="str">
        <f>IF(tblProducts[[#This Row],[Rating]]="","Missing",IF(tblProducts[[#This Row],[Rating]]&lt;3,"Poor",IF(tblProducts[[#This Row],[Rating]]&lt;=4.5,"Average","Excellent")))</f>
        <v>Missing</v>
      </c>
      <c r="I57" s="3" t="str">
        <f>IF(tblProducts[[#This Row],[Discount]]="","Missing",IF(tblProducts[[#This Row],[Discount]]&lt;=20%,"Low Discount",IF(tblProducts[[#This Row],[Discount]]&lt;=40%,"Medium Discount","High Discount")))</f>
        <v>High Discount</v>
      </c>
      <c r="J57" s="3" t="str">
        <f>IF(tblProducts[[#This Row],[Current Price]]&lt;=Price_Q1,"Low Price",IF(tblProducts[[#This Row],[Current Price]]&lt;=Price_Q3,"Medium Price","High Price"))</f>
        <v>Medium Price</v>
      </c>
      <c r="K57" s="3" t="str">
        <f>IF(tblProducts[[#This Row],[Review]]="","Missing",IF(tblProducts[[#This Row],[Review]]&gt;=Review_P75,"High Engagement","Low Engagement"))</f>
        <v>Missing</v>
      </c>
      <c r="L5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7" s="3" t="str">
        <f>IF(AND(tblProducts[[#This Row],[Rating Category]]="Excellent",tblProducts[[#This Row],[Engagement Flag]]="High Engagement"),"Yes","No")</f>
        <v>No</v>
      </c>
      <c r="N57" s="3" t="str">
        <f>IF(AND(tblProducts[[#This Row],[Discount Category]]="High Discount",tblProducts[[#This Row],[Rating Category]]="Poor"),"Yes","No")</f>
        <v>No</v>
      </c>
      <c r="O57" s="3" t="str">
        <f>IF(AND(tblProducts[[#This Row],[Discount Category]]="High Discount",tblProducts[[#This Row],[Rating Category]]="Excellent"),"Yes","No")</f>
        <v>No</v>
      </c>
      <c r="P57" s="3" t="str">
        <f>IF(AND(tblProducts[[#This Row],[Rating Category]]="Poor",tblProducts[[#This Row],[Engagement Flag]]="Low Engagement"),"Yes","No")</f>
        <v>No</v>
      </c>
      <c r="Q57" t="s">
        <v>334</v>
      </c>
    </row>
    <row r="58" spans="1:17" x14ac:dyDescent="0.35">
      <c r="A58" t="s">
        <v>176</v>
      </c>
      <c r="B58" s="3">
        <v>799</v>
      </c>
      <c r="C58" s="3">
        <v>1567</v>
      </c>
      <c r="D58" s="4">
        <v>0.49</v>
      </c>
      <c r="E58" s="5"/>
      <c r="F58" s="6"/>
      <c r="G58" s="3">
        <f>tblProducts[[#This Row],[Old Price]]-tblProducts[[#This Row],[Current Price]]</f>
        <v>768</v>
      </c>
      <c r="H58" s="3" t="str">
        <f>IF(tblProducts[[#This Row],[Rating]]="","Missing",IF(tblProducts[[#This Row],[Rating]]&lt;3,"Poor",IF(tblProducts[[#This Row],[Rating]]&lt;=4.5,"Average","Excellent")))</f>
        <v>Missing</v>
      </c>
      <c r="I58" s="3" t="str">
        <f>IF(tblProducts[[#This Row],[Discount]]="","Missing",IF(tblProducts[[#This Row],[Discount]]&lt;=20%,"Low Discount",IF(tblProducts[[#This Row],[Discount]]&lt;=40%,"Medium Discount","High Discount")))</f>
        <v>High Discount</v>
      </c>
      <c r="J58" s="3" t="str">
        <f>IF(tblProducts[[#This Row],[Current Price]]&lt;=Price_Q1,"Low Price",IF(tblProducts[[#This Row],[Current Price]]&lt;=Price_Q3,"Medium Price","High Price"))</f>
        <v>Medium Price</v>
      </c>
      <c r="K58" s="3" t="str">
        <f>IF(tblProducts[[#This Row],[Review]]="","Missing",IF(tblProducts[[#This Row],[Review]]&gt;=Review_P75,"High Engagement","Low Engagement"))</f>
        <v>Missing</v>
      </c>
      <c r="L5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8" s="3" t="str">
        <f>IF(AND(tblProducts[[#This Row],[Rating Category]]="Excellent",tblProducts[[#This Row],[Engagement Flag]]="High Engagement"),"Yes","No")</f>
        <v>No</v>
      </c>
      <c r="N58" s="3" t="str">
        <f>IF(AND(tblProducts[[#This Row],[Discount Category]]="High Discount",tblProducts[[#This Row],[Rating Category]]="Poor"),"Yes","No")</f>
        <v>No</v>
      </c>
      <c r="O58" s="3" t="str">
        <f>IF(AND(tblProducts[[#This Row],[Discount Category]]="High Discount",tblProducts[[#This Row],[Rating Category]]="Excellent"),"Yes","No")</f>
        <v>No</v>
      </c>
      <c r="P58" s="3" t="str">
        <f>IF(AND(tblProducts[[#This Row],[Rating Category]]="Poor",tblProducts[[#This Row],[Engagement Flag]]="Low Engagement"),"Yes","No")</f>
        <v>No</v>
      </c>
      <c r="Q58" t="s">
        <v>334</v>
      </c>
    </row>
    <row r="59" spans="1:17" x14ac:dyDescent="0.35">
      <c r="A59" t="s">
        <v>178</v>
      </c>
      <c r="B59" s="3">
        <v>2799</v>
      </c>
      <c r="C59" s="3">
        <v>3810</v>
      </c>
      <c r="D59" s="4">
        <v>0.27</v>
      </c>
      <c r="E59" s="5"/>
      <c r="F59" s="6"/>
      <c r="G59" s="3">
        <f>tblProducts[[#This Row],[Old Price]]-tblProducts[[#This Row],[Current Price]]</f>
        <v>1011</v>
      </c>
      <c r="H59" s="3" t="str">
        <f>IF(tblProducts[[#This Row],[Rating]]="","Missing",IF(tblProducts[[#This Row],[Rating]]&lt;3,"Poor",IF(tblProducts[[#This Row],[Rating]]&lt;=4.5,"Average","Excellent")))</f>
        <v>Missing</v>
      </c>
      <c r="I59" s="3" t="str">
        <f>IF(tblProducts[[#This Row],[Discount]]="","Missing",IF(tblProducts[[#This Row],[Discount]]&lt;=20%,"Low Discount",IF(tblProducts[[#This Row],[Discount]]&lt;=40%,"Medium Discount","High Discount")))</f>
        <v>Medium Discount</v>
      </c>
      <c r="J59" s="3" t="str">
        <f>IF(tblProducts[[#This Row],[Current Price]]&lt;=Price_Q1,"Low Price",IF(tblProducts[[#This Row],[Current Price]]&lt;=Price_Q3,"Medium Price","High Price"))</f>
        <v>High Price</v>
      </c>
      <c r="K59" s="3" t="str">
        <f>IF(tblProducts[[#This Row],[Review]]="","Missing",IF(tblProducts[[#This Row],[Review]]&gt;=Review_P75,"High Engagement","Low Engagement"))</f>
        <v>Missing</v>
      </c>
      <c r="L5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59" s="3" t="str">
        <f>IF(AND(tblProducts[[#This Row],[Rating Category]]="Excellent",tblProducts[[#This Row],[Engagement Flag]]="High Engagement"),"Yes","No")</f>
        <v>No</v>
      </c>
      <c r="N59" s="3" t="str">
        <f>IF(AND(tblProducts[[#This Row],[Discount Category]]="High Discount",tblProducts[[#This Row],[Rating Category]]="Poor"),"Yes","No")</f>
        <v>No</v>
      </c>
      <c r="O59" s="3" t="str">
        <f>IF(AND(tblProducts[[#This Row],[Discount Category]]="High Discount",tblProducts[[#This Row],[Rating Category]]="Excellent"),"Yes","No")</f>
        <v>No</v>
      </c>
      <c r="P59" s="3" t="str">
        <f>IF(AND(tblProducts[[#This Row],[Rating Category]]="Poor",tblProducts[[#This Row],[Engagement Flag]]="Low Engagement"),"Yes","No")</f>
        <v>No</v>
      </c>
      <c r="Q59" t="s">
        <v>334</v>
      </c>
    </row>
    <row r="60" spans="1:17" x14ac:dyDescent="0.35">
      <c r="A60" t="s">
        <v>171</v>
      </c>
      <c r="B60" s="3">
        <v>399</v>
      </c>
      <c r="C60" s="3">
        <v>896</v>
      </c>
      <c r="D60" s="4">
        <v>0.55000000000000004</v>
      </c>
      <c r="E60" s="5"/>
      <c r="F60" s="6"/>
      <c r="G60" s="3">
        <f>tblProducts[[#This Row],[Old Price]]-tblProducts[[#This Row],[Current Price]]</f>
        <v>497</v>
      </c>
      <c r="H60" s="3" t="str">
        <f>IF(tblProducts[[#This Row],[Rating]]="","Missing",IF(tblProducts[[#This Row],[Rating]]&lt;3,"Poor",IF(tblProducts[[#This Row],[Rating]]&lt;=4.5,"Average","Excellent")))</f>
        <v>Missing</v>
      </c>
      <c r="I60" s="3" t="str">
        <f>IF(tblProducts[[#This Row],[Discount]]="","Missing",IF(tblProducts[[#This Row],[Discount]]&lt;=20%,"Low Discount",IF(tblProducts[[#This Row],[Discount]]&lt;=40%,"Medium Discount","High Discount")))</f>
        <v>High Discount</v>
      </c>
      <c r="J60" s="3" t="str">
        <f>IF(tblProducts[[#This Row],[Current Price]]&lt;=Price_Q1,"Low Price",IF(tblProducts[[#This Row],[Current Price]]&lt;=Price_Q3,"Medium Price","High Price"))</f>
        <v>Low Price</v>
      </c>
      <c r="K60" s="3" t="str">
        <f>IF(tblProducts[[#This Row],[Review]]="","Missing",IF(tblProducts[[#This Row],[Review]]&gt;=Review_P75,"High Engagement","Low Engagement"))</f>
        <v>Missing</v>
      </c>
      <c r="L6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60" s="3" t="str">
        <f>IF(AND(tblProducts[[#This Row],[Rating Category]]="Excellent",tblProducts[[#This Row],[Engagement Flag]]="High Engagement"),"Yes","No")</f>
        <v>No</v>
      </c>
      <c r="N60" s="3" t="str">
        <f>IF(AND(tblProducts[[#This Row],[Discount Category]]="High Discount",tblProducts[[#This Row],[Rating Category]]="Poor"),"Yes","No")</f>
        <v>No</v>
      </c>
      <c r="O60" s="3" t="str">
        <f>IF(AND(tblProducts[[#This Row],[Discount Category]]="High Discount",tblProducts[[#This Row],[Rating Category]]="Excellent"),"Yes","No")</f>
        <v>No</v>
      </c>
      <c r="P60" s="3" t="str">
        <f>IF(AND(tblProducts[[#This Row],[Rating Category]]="Poor",tblProducts[[#This Row],[Engagement Flag]]="Low Engagement"),"Yes","No")</f>
        <v>No</v>
      </c>
      <c r="Q60" t="s">
        <v>334</v>
      </c>
    </row>
    <row r="61" spans="1:17" x14ac:dyDescent="0.35">
      <c r="A61" t="s">
        <v>126</v>
      </c>
      <c r="B61" s="3">
        <v>1800</v>
      </c>
      <c r="C61" s="3">
        <v>2700</v>
      </c>
      <c r="D61" s="4">
        <v>0.38</v>
      </c>
      <c r="E61" s="5">
        <v>2</v>
      </c>
      <c r="F61" s="6">
        <v>4.5</v>
      </c>
      <c r="G61" s="3">
        <f>tblProducts[[#This Row],[Old Price]]-tblProducts[[#This Row],[Current Price]]</f>
        <v>900</v>
      </c>
      <c r="H61" s="3" t="str">
        <f>IF(tblProducts[[#This Row],[Rating]]="","Missing",IF(tblProducts[[#This Row],[Rating]]&lt;3,"Poor",IF(tblProducts[[#This Row],[Rating]]&lt;=4.5,"Average","Excellent")))</f>
        <v>Average</v>
      </c>
      <c r="I61" s="3" t="str">
        <f>IF(tblProducts[[#This Row],[Discount]]="","Missing",IF(tblProducts[[#This Row],[Discount]]&lt;=20%,"Low Discount",IF(tblProducts[[#This Row],[Discount]]&lt;=40%,"Medium Discount","High Discount")))</f>
        <v>Medium Discount</v>
      </c>
      <c r="J61" s="3" t="str">
        <f>IF(tblProducts[[#This Row],[Current Price]]&lt;=Price_Q1,"Low Price",IF(tblProducts[[#This Row],[Current Price]]&lt;=Price_Q3,"Medium Price","High Price"))</f>
        <v>High Price</v>
      </c>
      <c r="K61" s="3" t="str">
        <f>IF(tblProducts[[#This Row],[Review]]="","Missing",IF(tblProducts[[#This Row],[Review]]&gt;=Review_P75,"High Engagement","Low Engagement"))</f>
        <v>Low Engagement</v>
      </c>
      <c r="L6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61" s="3" t="str">
        <f>IF(AND(tblProducts[[#This Row],[Rating Category]]="Excellent",tblProducts[[#This Row],[Engagement Flag]]="High Engagement"),"Yes","No")</f>
        <v>No</v>
      </c>
      <c r="N61" s="3" t="str">
        <f>IF(AND(tblProducts[[#This Row],[Discount Category]]="High Discount",tblProducts[[#This Row],[Rating Category]]="Poor"),"Yes","No")</f>
        <v>No</v>
      </c>
      <c r="O61" s="3" t="str">
        <f>IF(AND(tblProducts[[#This Row],[Discount Category]]="High Discount",tblProducts[[#This Row],[Rating Category]]="Excellent"),"Yes","No")</f>
        <v>No</v>
      </c>
      <c r="P61" s="3" t="str">
        <f>IF(AND(tblProducts[[#This Row],[Rating Category]]="Poor",tblProducts[[#This Row],[Engagement Flag]]="Low Engagement"),"Yes","No")</f>
        <v>No</v>
      </c>
      <c r="Q61" t="s">
        <v>335</v>
      </c>
    </row>
    <row r="62" spans="1:17" x14ac:dyDescent="0.35">
      <c r="A62" t="s">
        <v>14</v>
      </c>
      <c r="B62" s="3">
        <v>2199</v>
      </c>
      <c r="C62" s="3">
        <v>2923</v>
      </c>
      <c r="D62" s="4">
        <v>0.25</v>
      </c>
      <c r="E62" s="5">
        <v>24</v>
      </c>
      <c r="F62" s="6">
        <v>4.5999999999999996</v>
      </c>
      <c r="G62" s="3">
        <f>tblProducts[[#This Row],[Old Price]]-tblProducts[[#This Row],[Current Price]]</f>
        <v>724</v>
      </c>
      <c r="H62" s="3" t="str">
        <f>IF(tblProducts[[#This Row],[Rating]]="","Missing",IF(tblProducts[[#This Row],[Rating]]&lt;3,"Poor",IF(tblProducts[[#This Row],[Rating]]&lt;=4.5,"Average","Excellent")))</f>
        <v>Excellent</v>
      </c>
      <c r="I62" s="3" t="str">
        <f>IF(tblProducts[[#This Row],[Discount]]="","Missing",IF(tblProducts[[#This Row],[Discount]]&lt;=20%,"Low Discount",IF(tblProducts[[#This Row],[Discount]]&lt;=40%,"Medium Discount","High Discount")))</f>
        <v>Medium Discount</v>
      </c>
      <c r="J62" s="3" t="str">
        <f>IF(tblProducts[[#This Row],[Current Price]]&lt;=Price_Q1,"Low Price",IF(tblProducts[[#This Row],[Current Price]]&lt;=Price_Q3,"Medium Price","High Price"))</f>
        <v>High Price</v>
      </c>
      <c r="K62" s="3" t="str">
        <f>IF(tblProducts[[#This Row],[Review]]="","Missing",IF(tblProducts[[#This Row],[Review]]&gt;=Review_P75,"High Engagement","Low Engagement"))</f>
        <v>High Engagement</v>
      </c>
      <c r="L6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Rating + High Engagement</v>
      </c>
      <c r="M62" s="3" t="str">
        <f>IF(AND(tblProducts[[#This Row],[Rating Category]]="Excellent",tblProducts[[#This Row],[Engagement Flag]]="High Engagement"),"Yes","No")</f>
        <v>Yes</v>
      </c>
      <c r="N62" s="3" t="str">
        <f>IF(AND(tblProducts[[#This Row],[Discount Category]]="High Discount",tblProducts[[#This Row],[Rating Category]]="Poor"),"Yes","No")</f>
        <v>No</v>
      </c>
      <c r="O62" s="3" t="str">
        <f>IF(AND(tblProducts[[#This Row],[Discount Category]]="High Discount",tblProducts[[#This Row],[Rating Category]]="Excellent"),"Yes","No")</f>
        <v>No</v>
      </c>
      <c r="P62" s="3" t="str">
        <f>IF(AND(tblProducts[[#This Row],[Rating Category]]="Poor",tblProducts[[#This Row],[Engagement Flag]]="Low Engagement"),"Yes","No")</f>
        <v>No</v>
      </c>
      <c r="Q62" t="s">
        <v>335</v>
      </c>
    </row>
    <row r="63" spans="1:17" x14ac:dyDescent="0.35">
      <c r="A63" t="s">
        <v>30</v>
      </c>
      <c r="B63" s="3">
        <v>2319</v>
      </c>
      <c r="C63" s="3">
        <v>3032</v>
      </c>
      <c r="D63" s="4">
        <v>0.24</v>
      </c>
      <c r="E63" s="5">
        <v>55</v>
      </c>
      <c r="F63" s="6">
        <v>4.5999999999999996</v>
      </c>
      <c r="G63" s="3">
        <f>tblProducts[[#This Row],[Old Price]]-tblProducts[[#This Row],[Current Price]]</f>
        <v>713</v>
      </c>
      <c r="H63" s="3" t="str">
        <f>IF(tblProducts[[#This Row],[Rating]]="","Missing",IF(tblProducts[[#This Row],[Rating]]&lt;3,"Poor",IF(tblProducts[[#This Row],[Rating]]&lt;=4.5,"Average","Excellent")))</f>
        <v>Excellent</v>
      </c>
      <c r="I63" s="3" t="str">
        <f>IF(tblProducts[[#This Row],[Discount]]="","Missing",IF(tblProducts[[#This Row],[Discount]]&lt;=20%,"Low Discount",IF(tblProducts[[#This Row],[Discount]]&lt;=40%,"Medium Discount","High Discount")))</f>
        <v>Medium Discount</v>
      </c>
      <c r="J63" s="3" t="str">
        <f>IF(tblProducts[[#This Row],[Current Price]]&lt;=Price_Q1,"Low Price",IF(tblProducts[[#This Row],[Current Price]]&lt;=Price_Q3,"Medium Price","High Price"))</f>
        <v>High Price</v>
      </c>
      <c r="K63" s="3" t="str">
        <f>IF(tblProducts[[#This Row],[Review]]="","Missing",IF(tblProducts[[#This Row],[Review]]&gt;=Review_P75,"High Engagement","Low Engagement"))</f>
        <v>High Engagement</v>
      </c>
      <c r="L6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Rating + High Engagement</v>
      </c>
      <c r="M63" s="3" t="str">
        <f>IF(AND(tblProducts[[#This Row],[Rating Category]]="Excellent",tblProducts[[#This Row],[Engagement Flag]]="High Engagement"),"Yes","No")</f>
        <v>Yes</v>
      </c>
      <c r="N63" s="3" t="str">
        <f>IF(AND(tblProducts[[#This Row],[Discount Category]]="High Discount",tblProducts[[#This Row],[Rating Category]]="Poor"),"Yes","No")</f>
        <v>No</v>
      </c>
      <c r="O63" s="3" t="str">
        <f>IF(AND(tblProducts[[#This Row],[Discount Category]]="High Discount",tblProducts[[#This Row],[Rating Category]]="Excellent"),"Yes","No")</f>
        <v>No</v>
      </c>
      <c r="P63" s="3" t="str">
        <f>IF(AND(tblProducts[[#This Row],[Rating Category]]="Poor",tblProducts[[#This Row],[Engagement Flag]]="Low Engagement"),"Yes","No")</f>
        <v>No</v>
      </c>
      <c r="Q63" t="s">
        <v>335</v>
      </c>
    </row>
    <row r="64" spans="1:17" x14ac:dyDescent="0.35">
      <c r="A64" t="s">
        <v>66</v>
      </c>
      <c r="B64" s="3">
        <v>2999</v>
      </c>
      <c r="C64" s="3">
        <v>3699</v>
      </c>
      <c r="D64" s="4">
        <v>0.19</v>
      </c>
      <c r="E64" s="5">
        <v>5</v>
      </c>
      <c r="F64" s="6">
        <v>4.5999999999999996</v>
      </c>
      <c r="G64" s="3">
        <f>tblProducts[[#This Row],[Old Price]]-tblProducts[[#This Row],[Current Price]]</f>
        <v>700</v>
      </c>
      <c r="H64" s="3" t="str">
        <f>IF(tblProducts[[#This Row],[Rating]]="","Missing",IF(tblProducts[[#This Row],[Rating]]&lt;3,"Poor",IF(tblProducts[[#This Row],[Rating]]&lt;=4.5,"Average","Excellent")))</f>
        <v>Excellent</v>
      </c>
      <c r="I64" s="3" t="str">
        <f>IF(tblProducts[[#This Row],[Discount]]="","Missing",IF(tblProducts[[#This Row],[Discount]]&lt;=20%,"Low Discount",IF(tblProducts[[#This Row],[Discount]]&lt;=40%,"Medium Discount","High Discount")))</f>
        <v>Low Discount</v>
      </c>
      <c r="J64" s="3" t="str">
        <f>IF(tblProducts[[#This Row],[Current Price]]&lt;=Price_Q1,"Low Price",IF(tblProducts[[#This Row],[Current Price]]&lt;=Price_Q3,"Medium Price","High Price"))</f>
        <v>High Price</v>
      </c>
      <c r="K64" s="3" t="str">
        <f>IF(tblProducts[[#This Row],[Review]]="","Missing",IF(tblProducts[[#This Row],[Review]]&gt;=Review_P75,"High Engagement","Low Engagement"))</f>
        <v>Low Engagement</v>
      </c>
      <c r="L6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64" s="3" t="str">
        <f>IF(AND(tblProducts[[#This Row],[Rating Category]]="Excellent",tblProducts[[#This Row],[Engagement Flag]]="High Engagement"),"Yes","No")</f>
        <v>No</v>
      </c>
      <c r="N64" s="3" t="str">
        <f>IF(AND(tblProducts[[#This Row],[Discount Category]]="High Discount",tblProducts[[#This Row],[Rating Category]]="Poor"),"Yes","No")</f>
        <v>No</v>
      </c>
      <c r="O64" s="3" t="str">
        <f>IF(AND(tblProducts[[#This Row],[Discount Category]]="High Discount",tblProducts[[#This Row],[Rating Category]]="Excellent"),"Yes","No")</f>
        <v>No</v>
      </c>
      <c r="P64" s="3" t="str">
        <f>IF(AND(tblProducts[[#This Row],[Rating Category]]="Poor",tblProducts[[#This Row],[Engagement Flag]]="Low Engagement"),"Yes","No")</f>
        <v>No</v>
      </c>
      <c r="Q64" t="s">
        <v>335</v>
      </c>
    </row>
    <row r="65" spans="1:17" x14ac:dyDescent="0.35">
      <c r="A65" t="s">
        <v>68</v>
      </c>
      <c r="B65" s="3">
        <v>998</v>
      </c>
      <c r="C65" s="3">
        <v>1966</v>
      </c>
      <c r="D65" s="4">
        <v>0.49</v>
      </c>
      <c r="E65" s="5">
        <v>44</v>
      </c>
      <c r="F65" s="6">
        <v>4.5999999999999996</v>
      </c>
      <c r="G65" s="3">
        <f>tblProducts[[#This Row],[Old Price]]-tblProducts[[#This Row],[Current Price]]</f>
        <v>968</v>
      </c>
      <c r="H65" s="3" t="str">
        <f>IF(tblProducts[[#This Row],[Rating]]="","Missing",IF(tblProducts[[#This Row],[Rating]]&lt;3,"Poor",IF(tblProducts[[#This Row],[Rating]]&lt;=4.5,"Average","Excellent")))</f>
        <v>Excellent</v>
      </c>
      <c r="I65" s="3" t="str">
        <f>IF(tblProducts[[#This Row],[Discount]]="","Missing",IF(tblProducts[[#This Row],[Discount]]&lt;=20%,"Low Discount",IF(tblProducts[[#This Row],[Discount]]&lt;=40%,"Medium Discount","High Discount")))</f>
        <v>High Discount</v>
      </c>
      <c r="J65" s="3" t="str">
        <f>IF(tblProducts[[#This Row],[Current Price]]&lt;=Price_Q1,"Low Price",IF(tblProducts[[#This Row],[Current Price]]&lt;=Price_Q3,"Medium Price","High Price"))</f>
        <v>Medium Price</v>
      </c>
      <c r="K65" s="3" t="str">
        <f>IF(tblProducts[[#This Row],[Review]]="","Missing",IF(tblProducts[[#This Row],[Review]]&gt;=Review_P75,"High Engagement","Low Engagement"))</f>
        <v>High Engagement</v>
      </c>
      <c r="L6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Rating + High Engagement</v>
      </c>
      <c r="M65" s="3" t="str">
        <f>IF(AND(tblProducts[[#This Row],[Rating Category]]="Excellent",tblProducts[[#This Row],[Engagement Flag]]="High Engagement"),"Yes","No")</f>
        <v>Yes</v>
      </c>
      <c r="N65" s="3" t="str">
        <f>IF(AND(tblProducts[[#This Row],[Discount Category]]="High Discount",tblProducts[[#This Row],[Rating Category]]="Poor"),"Yes","No")</f>
        <v>No</v>
      </c>
      <c r="O65" s="3" t="str">
        <f>IF(AND(tblProducts[[#This Row],[Discount Category]]="High Discount",tblProducts[[#This Row],[Rating Category]]="Excellent"),"Yes","No")</f>
        <v>Yes</v>
      </c>
      <c r="P65" s="3" t="str">
        <f>IF(AND(tblProducts[[#This Row],[Rating Category]]="Poor",tblProducts[[#This Row],[Engagement Flag]]="Low Engagement"),"Yes","No")</f>
        <v>No</v>
      </c>
      <c r="Q65" t="s">
        <v>335</v>
      </c>
    </row>
    <row r="66" spans="1:17" x14ac:dyDescent="0.35">
      <c r="A66" t="s">
        <v>90</v>
      </c>
      <c r="B66" s="3">
        <v>420</v>
      </c>
      <c r="C66" s="3">
        <v>647</v>
      </c>
      <c r="D66" s="4">
        <v>0.35</v>
      </c>
      <c r="E66" s="5">
        <v>49</v>
      </c>
      <c r="F66" s="6">
        <v>4.5999999999999996</v>
      </c>
      <c r="G66" s="3">
        <f>tblProducts[[#This Row],[Old Price]]-tblProducts[[#This Row],[Current Price]]</f>
        <v>227</v>
      </c>
      <c r="H66" s="3" t="str">
        <f>IF(tblProducts[[#This Row],[Rating]]="","Missing",IF(tblProducts[[#This Row],[Rating]]&lt;3,"Poor",IF(tblProducts[[#This Row],[Rating]]&lt;=4.5,"Average","Excellent")))</f>
        <v>Excellent</v>
      </c>
      <c r="I66" s="3" t="str">
        <f>IF(tblProducts[[#This Row],[Discount]]="","Missing",IF(tblProducts[[#This Row],[Discount]]&lt;=20%,"Low Discount",IF(tblProducts[[#This Row],[Discount]]&lt;=40%,"Medium Discount","High Discount")))</f>
        <v>Medium Discount</v>
      </c>
      <c r="J66" s="3" t="str">
        <f>IF(tblProducts[[#This Row],[Current Price]]&lt;=Price_Q1,"Low Price",IF(tblProducts[[#This Row],[Current Price]]&lt;=Price_Q3,"Medium Price","High Price"))</f>
        <v>Low Price</v>
      </c>
      <c r="K66" s="3" t="str">
        <f>IF(tblProducts[[#This Row],[Review]]="","Missing",IF(tblProducts[[#This Row],[Review]]&gt;=Review_P75,"High Engagement","Low Engagement"))</f>
        <v>High Engagement</v>
      </c>
      <c r="L6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Rating + High Engagement</v>
      </c>
      <c r="M66" s="3" t="str">
        <f>IF(AND(tblProducts[[#This Row],[Rating Category]]="Excellent",tblProducts[[#This Row],[Engagement Flag]]="High Engagement"),"Yes","No")</f>
        <v>Yes</v>
      </c>
      <c r="N66" s="3" t="str">
        <f>IF(AND(tblProducts[[#This Row],[Discount Category]]="High Discount",tblProducts[[#This Row],[Rating Category]]="Poor"),"Yes","No")</f>
        <v>No</v>
      </c>
      <c r="O66" s="3" t="str">
        <f>IF(AND(tblProducts[[#This Row],[Discount Category]]="High Discount",tblProducts[[#This Row],[Rating Category]]="Excellent"),"Yes","No")</f>
        <v>No</v>
      </c>
      <c r="P66" s="3" t="str">
        <f>IF(AND(tblProducts[[#This Row],[Rating Category]]="Poor",tblProducts[[#This Row],[Engagement Flag]]="Low Engagement"),"Yes","No")</f>
        <v>No</v>
      </c>
      <c r="Q66" t="s">
        <v>335</v>
      </c>
    </row>
    <row r="67" spans="1:17" x14ac:dyDescent="0.35">
      <c r="A67" t="s">
        <v>18</v>
      </c>
      <c r="B67" s="3">
        <v>1580</v>
      </c>
      <c r="C67" s="3">
        <v>2499</v>
      </c>
      <c r="D67" s="4">
        <v>0.37</v>
      </c>
      <c r="E67" s="5">
        <v>7</v>
      </c>
      <c r="F67" s="6">
        <v>4.7</v>
      </c>
      <c r="G67" s="3">
        <f>tblProducts[[#This Row],[Old Price]]-tblProducts[[#This Row],[Current Price]]</f>
        <v>919</v>
      </c>
      <c r="H67" s="3" t="str">
        <f>IF(tblProducts[[#This Row],[Rating]]="","Missing",IF(tblProducts[[#This Row],[Rating]]&lt;3,"Poor",IF(tblProducts[[#This Row],[Rating]]&lt;=4.5,"Average","Excellent")))</f>
        <v>Excellent</v>
      </c>
      <c r="I67" s="3" t="str">
        <f>IF(tblProducts[[#This Row],[Discount]]="","Missing",IF(tblProducts[[#This Row],[Discount]]&lt;=20%,"Low Discount",IF(tblProducts[[#This Row],[Discount]]&lt;=40%,"Medium Discount","High Discount")))</f>
        <v>Medium Discount</v>
      </c>
      <c r="J67" s="3" t="str">
        <f>IF(tblProducts[[#This Row],[Current Price]]&lt;=Price_Q1,"Low Price",IF(tblProducts[[#This Row],[Current Price]]&lt;=Price_Q3,"Medium Price","High Price"))</f>
        <v>Medium Price</v>
      </c>
      <c r="K67" s="3" t="str">
        <f>IF(tblProducts[[#This Row],[Review]]="","Missing",IF(tblProducts[[#This Row],[Review]]&gt;=Review_P75,"High Engagement","Low Engagement"))</f>
        <v>Low Engagement</v>
      </c>
      <c r="L6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67" s="3" t="str">
        <f>IF(AND(tblProducts[[#This Row],[Rating Category]]="Excellent",tblProducts[[#This Row],[Engagement Flag]]="High Engagement"),"Yes","No")</f>
        <v>No</v>
      </c>
      <c r="N67" s="3" t="str">
        <f>IF(AND(tblProducts[[#This Row],[Discount Category]]="High Discount",tblProducts[[#This Row],[Rating Category]]="Poor"),"Yes","No")</f>
        <v>No</v>
      </c>
      <c r="O67" s="3" t="str">
        <f>IF(AND(tblProducts[[#This Row],[Discount Category]]="High Discount",tblProducts[[#This Row],[Rating Category]]="Excellent"),"Yes","No")</f>
        <v>No</v>
      </c>
      <c r="P67" s="3" t="str">
        <f>IF(AND(tblProducts[[#This Row],[Rating Category]]="Poor",tblProducts[[#This Row],[Engagement Flag]]="Low Engagement"),"Yes","No")</f>
        <v>No</v>
      </c>
      <c r="Q67" t="s">
        <v>335</v>
      </c>
    </row>
    <row r="68" spans="1:17" x14ac:dyDescent="0.35">
      <c r="A68" t="s">
        <v>44</v>
      </c>
      <c r="B68" s="3">
        <v>990</v>
      </c>
      <c r="C68" s="3">
        <v>1500</v>
      </c>
      <c r="D68" s="4">
        <v>0.34</v>
      </c>
      <c r="E68" s="5">
        <v>39</v>
      </c>
      <c r="F68" s="6">
        <v>4.7</v>
      </c>
      <c r="G68" s="3">
        <f>tblProducts[[#This Row],[Old Price]]-tblProducts[[#This Row],[Current Price]]</f>
        <v>510</v>
      </c>
      <c r="H68" s="3" t="str">
        <f>IF(tblProducts[[#This Row],[Rating]]="","Missing",IF(tblProducts[[#This Row],[Rating]]&lt;3,"Poor",IF(tblProducts[[#This Row],[Rating]]&lt;=4.5,"Average","Excellent")))</f>
        <v>Excellent</v>
      </c>
      <c r="I68" s="3" t="str">
        <f>IF(tblProducts[[#This Row],[Discount]]="","Missing",IF(tblProducts[[#This Row],[Discount]]&lt;=20%,"Low Discount",IF(tblProducts[[#This Row],[Discount]]&lt;=40%,"Medium Discount","High Discount")))</f>
        <v>Medium Discount</v>
      </c>
      <c r="J68" s="3" t="str">
        <f>IF(tblProducts[[#This Row],[Current Price]]&lt;=Price_Q1,"Low Price",IF(tblProducts[[#This Row],[Current Price]]&lt;=Price_Q3,"Medium Price","High Price"))</f>
        <v>Medium Price</v>
      </c>
      <c r="K68" s="3" t="str">
        <f>IF(tblProducts[[#This Row],[Review]]="","Missing",IF(tblProducts[[#This Row],[Review]]&gt;=Review_P75,"High Engagement","Low Engagement"))</f>
        <v>High Engagement</v>
      </c>
      <c r="L6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Rating + High Engagement</v>
      </c>
      <c r="M68" s="3" t="str">
        <f>IF(AND(tblProducts[[#This Row],[Rating Category]]="Excellent",tblProducts[[#This Row],[Engagement Flag]]="High Engagement"),"Yes","No")</f>
        <v>Yes</v>
      </c>
      <c r="N68" s="3" t="str">
        <f>IF(AND(tblProducts[[#This Row],[Discount Category]]="High Discount",tblProducts[[#This Row],[Rating Category]]="Poor"),"Yes","No")</f>
        <v>No</v>
      </c>
      <c r="O68" s="3" t="str">
        <f>IF(AND(tblProducts[[#This Row],[Discount Category]]="High Discount",tblProducts[[#This Row],[Rating Category]]="Excellent"),"Yes","No")</f>
        <v>No</v>
      </c>
      <c r="P68" s="3" t="str">
        <f>IF(AND(tblProducts[[#This Row],[Rating Category]]="Poor",tblProducts[[#This Row],[Engagement Flag]]="Low Engagement"),"Yes","No")</f>
        <v>No</v>
      </c>
      <c r="Q68" t="s">
        <v>335</v>
      </c>
    </row>
    <row r="69" spans="1:17" x14ac:dyDescent="0.35">
      <c r="A69" t="s">
        <v>106</v>
      </c>
      <c r="B69" s="3">
        <v>980</v>
      </c>
      <c r="C69" s="3">
        <v>1490</v>
      </c>
      <c r="D69" s="4">
        <v>0.34</v>
      </c>
      <c r="E69" s="5">
        <v>12</v>
      </c>
      <c r="F69" s="6">
        <v>4.7</v>
      </c>
      <c r="G69" s="3">
        <f>tblProducts[[#This Row],[Old Price]]-tblProducts[[#This Row],[Current Price]]</f>
        <v>510</v>
      </c>
      <c r="H69" s="3" t="str">
        <f>IF(tblProducts[[#This Row],[Rating]]="","Missing",IF(tblProducts[[#This Row],[Rating]]&lt;3,"Poor",IF(tblProducts[[#This Row],[Rating]]&lt;=4.5,"Average","Excellent")))</f>
        <v>Excellent</v>
      </c>
      <c r="I69" s="3" t="str">
        <f>IF(tblProducts[[#This Row],[Discount]]="","Missing",IF(tblProducts[[#This Row],[Discount]]&lt;=20%,"Low Discount",IF(tblProducts[[#This Row],[Discount]]&lt;=40%,"Medium Discount","High Discount")))</f>
        <v>Medium Discount</v>
      </c>
      <c r="J69" s="3" t="str">
        <f>IF(tblProducts[[#This Row],[Current Price]]&lt;=Price_Q1,"Low Price",IF(tblProducts[[#This Row],[Current Price]]&lt;=Price_Q3,"Medium Price","High Price"))</f>
        <v>Medium Price</v>
      </c>
      <c r="K69" s="3" t="str">
        <f>IF(tblProducts[[#This Row],[Review]]="","Missing",IF(tblProducts[[#This Row],[Review]]&gt;=Review_P75,"High Engagement","Low Engagement"))</f>
        <v>Low Engagement</v>
      </c>
      <c r="L6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69" s="3" t="str">
        <f>IF(AND(tblProducts[[#This Row],[Rating Category]]="Excellent",tblProducts[[#This Row],[Engagement Flag]]="High Engagement"),"Yes","No")</f>
        <v>No</v>
      </c>
      <c r="N69" s="3" t="str">
        <f>IF(AND(tblProducts[[#This Row],[Discount Category]]="High Discount",tblProducts[[#This Row],[Rating Category]]="Poor"),"Yes","No")</f>
        <v>No</v>
      </c>
      <c r="O69" s="3" t="str">
        <f>IF(AND(tblProducts[[#This Row],[Discount Category]]="High Discount",tblProducts[[#This Row],[Rating Category]]="Excellent"),"Yes","No")</f>
        <v>No</v>
      </c>
      <c r="P69" s="3" t="str">
        <f>IF(AND(tblProducts[[#This Row],[Rating Category]]="Poor",tblProducts[[#This Row],[Engagement Flag]]="Low Engagement"),"Yes","No")</f>
        <v>No</v>
      </c>
      <c r="Q69" t="s">
        <v>335</v>
      </c>
    </row>
    <row r="70" spans="1:17" x14ac:dyDescent="0.35">
      <c r="A70" t="s">
        <v>112</v>
      </c>
      <c r="B70" s="3">
        <v>1940</v>
      </c>
      <c r="C70" s="3">
        <v>2650</v>
      </c>
      <c r="D70" s="4">
        <v>0.27</v>
      </c>
      <c r="E70" s="5">
        <v>20</v>
      </c>
      <c r="F70" s="6">
        <v>4.7</v>
      </c>
      <c r="G70" s="3">
        <f>tblProducts[[#This Row],[Old Price]]-tblProducts[[#This Row],[Current Price]]</f>
        <v>710</v>
      </c>
      <c r="H70" s="3" t="str">
        <f>IF(tblProducts[[#This Row],[Rating]]="","Missing",IF(tblProducts[[#This Row],[Rating]]&lt;3,"Poor",IF(tblProducts[[#This Row],[Rating]]&lt;=4.5,"Average","Excellent")))</f>
        <v>Excellent</v>
      </c>
      <c r="I70" s="3" t="str">
        <f>IF(tblProducts[[#This Row],[Discount]]="","Missing",IF(tblProducts[[#This Row],[Discount]]&lt;=20%,"Low Discount",IF(tblProducts[[#This Row],[Discount]]&lt;=40%,"Medium Discount","High Discount")))</f>
        <v>Medium Discount</v>
      </c>
      <c r="J70" s="3" t="str">
        <f>IF(tblProducts[[#This Row],[Current Price]]&lt;=Price_Q1,"Low Price",IF(tblProducts[[#This Row],[Current Price]]&lt;=Price_Q3,"Medium Price","High Price"))</f>
        <v>High Price</v>
      </c>
      <c r="K70" s="3" t="str">
        <f>IF(tblProducts[[#This Row],[Review]]="","Missing",IF(tblProducts[[#This Row],[Review]]&gt;=Review_P75,"High Engagement","Low Engagement"))</f>
        <v>High Engagement</v>
      </c>
      <c r="L7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Rating + High Engagement</v>
      </c>
      <c r="M70" s="3" t="str">
        <f>IF(AND(tblProducts[[#This Row],[Rating Category]]="Excellent",tblProducts[[#This Row],[Engagement Flag]]="High Engagement"),"Yes","No")</f>
        <v>Yes</v>
      </c>
      <c r="N70" s="3" t="str">
        <f>IF(AND(tblProducts[[#This Row],[Discount Category]]="High Discount",tblProducts[[#This Row],[Rating Category]]="Poor"),"Yes","No")</f>
        <v>No</v>
      </c>
      <c r="O70" s="3" t="str">
        <f>IF(AND(tblProducts[[#This Row],[Discount Category]]="High Discount",tblProducts[[#This Row],[Rating Category]]="Excellent"),"Yes","No")</f>
        <v>No</v>
      </c>
      <c r="P70" s="3" t="str">
        <f>IF(AND(tblProducts[[#This Row],[Rating Category]]="Poor",tblProducts[[#This Row],[Engagement Flag]]="Low Engagement"),"Yes","No")</f>
        <v>No</v>
      </c>
      <c r="Q70" t="s">
        <v>335</v>
      </c>
    </row>
    <row r="71" spans="1:17" x14ac:dyDescent="0.35">
      <c r="A71" t="s">
        <v>22</v>
      </c>
      <c r="B71" s="3">
        <v>1740</v>
      </c>
      <c r="C71" s="3">
        <v>2356</v>
      </c>
      <c r="D71" s="4">
        <v>0.26</v>
      </c>
      <c r="E71" s="5">
        <v>5</v>
      </c>
      <c r="F71" s="6">
        <v>4.8</v>
      </c>
      <c r="G71" s="3">
        <f>tblProducts[[#This Row],[Old Price]]-tblProducts[[#This Row],[Current Price]]</f>
        <v>616</v>
      </c>
      <c r="H71" s="3" t="str">
        <f>IF(tblProducts[[#This Row],[Rating]]="","Missing",IF(tblProducts[[#This Row],[Rating]]&lt;3,"Poor",IF(tblProducts[[#This Row],[Rating]]&lt;=4.5,"Average","Excellent")))</f>
        <v>Excellent</v>
      </c>
      <c r="I71" s="3" t="str">
        <f>IF(tblProducts[[#This Row],[Discount]]="","Missing",IF(tblProducts[[#This Row],[Discount]]&lt;=20%,"Low Discount",IF(tblProducts[[#This Row],[Discount]]&lt;=40%,"Medium Discount","High Discount")))</f>
        <v>Medium Discount</v>
      </c>
      <c r="J71" s="3" t="str">
        <f>IF(tblProducts[[#This Row],[Current Price]]&lt;=Price_Q1,"Low Price",IF(tblProducts[[#This Row],[Current Price]]&lt;=Price_Q3,"Medium Price","High Price"))</f>
        <v>High Price</v>
      </c>
      <c r="K71" s="3" t="str">
        <f>IF(tblProducts[[#This Row],[Review]]="","Missing",IF(tblProducts[[#This Row],[Review]]&gt;=Review_P75,"High Engagement","Low Engagement"))</f>
        <v>Low Engagement</v>
      </c>
      <c r="L7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71" s="3" t="str">
        <f>IF(AND(tblProducts[[#This Row],[Rating Category]]="Excellent",tblProducts[[#This Row],[Engagement Flag]]="High Engagement"),"Yes","No")</f>
        <v>No</v>
      </c>
      <c r="N71" s="3" t="str">
        <f>IF(AND(tblProducts[[#This Row],[Discount Category]]="High Discount",tblProducts[[#This Row],[Rating Category]]="Poor"),"Yes","No")</f>
        <v>No</v>
      </c>
      <c r="O71" s="3" t="str">
        <f>IF(AND(tblProducts[[#This Row],[Discount Category]]="High Discount",tblProducts[[#This Row],[Rating Category]]="Excellent"),"Yes","No")</f>
        <v>No</v>
      </c>
      <c r="P71" s="3" t="str">
        <f>IF(AND(tblProducts[[#This Row],[Rating Category]]="Poor",tblProducts[[#This Row],[Engagement Flag]]="Low Engagement"),"Yes","No")</f>
        <v>No</v>
      </c>
      <c r="Q71" t="s">
        <v>335</v>
      </c>
    </row>
    <row r="72" spans="1:17" x14ac:dyDescent="0.35">
      <c r="A72" t="s">
        <v>35</v>
      </c>
      <c r="B72" s="3">
        <v>1274</v>
      </c>
      <c r="C72" s="3">
        <v>2800</v>
      </c>
      <c r="D72" s="4">
        <v>0.55000000000000004</v>
      </c>
      <c r="E72" s="5">
        <v>5</v>
      </c>
      <c r="F72" s="6">
        <v>4.8</v>
      </c>
      <c r="G72" s="3">
        <f>tblProducts[[#This Row],[Old Price]]-tblProducts[[#This Row],[Current Price]]</f>
        <v>1526</v>
      </c>
      <c r="H72" s="3" t="str">
        <f>IF(tblProducts[[#This Row],[Rating]]="","Missing",IF(tblProducts[[#This Row],[Rating]]&lt;3,"Poor",IF(tblProducts[[#This Row],[Rating]]&lt;=4.5,"Average","Excellent")))</f>
        <v>Excellent</v>
      </c>
      <c r="I72" s="3" t="str">
        <f>IF(tblProducts[[#This Row],[Discount]]="","Missing",IF(tblProducts[[#This Row],[Discount]]&lt;=20%,"Low Discount",IF(tblProducts[[#This Row],[Discount]]&lt;=40%,"Medium Discount","High Discount")))</f>
        <v>High Discount</v>
      </c>
      <c r="J72" s="3" t="str">
        <f>IF(tblProducts[[#This Row],[Current Price]]&lt;=Price_Q1,"Low Price",IF(tblProducts[[#This Row],[Current Price]]&lt;=Price_Q3,"Medium Price","High Price"))</f>
        <v>Medium Price</v>
      </c>
      <c r="K72" s="3" t="str">
        <f>IF(tblProducts[[#This Row],[Review]]="","Missing",IF(tblProducts[[#This Row],[Review]]&gt;=Review_P75,"High Engagement","Low Engagement"))</f>
        <v>Low Engagement</v>
      </c>
      <c r="L7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72" s="3" t="str">
        <f>IF(AND(tblProducts[[#This Row],[Rating Category]]="Excellent",tblProducts[[#This Row],[Engagement Flag]]="High Engagement"),"Yes","No")</f>
        <v>No</v>
      </c>
      <c r="N72" s="3" t="str">
        <f>IF(AND(tblProducts[[#This Row],[Discount Category]]="High Discount",tblProducts[[#This Row],[Rating Category]]="Poor"),"Yes","No")</f>
        <v>No</v>
      </c>
      <c r="O72" s="3" t="str">
        <f>IF(AND(tblProducts[[#This Row],[Discount Category]]="High Discount",tblProducts[[#This Row],[Rating Category]]="Excellent"),"Yes","No")</f>
        <v>Yes</v>
      </c>
      <c r="P72" s="3" t="str">
        <f>IF(AND(tblProducts[[#This Row],[Rating Category]]="Poor",tblProducts[[#This Row],[Engagement Flag]]="Low Engagement"),"Yes","No")</f>
        <v>No</v>
      </c>
      <c r="Q72" t="s">
        <v>335</v>
      </c>
    </row>
    <row r="73" spans="1:17" x14ac:dyDescent="0.35">
      <c r="A73" t="s">
        <v>47</v>
      </c>
      <c r="B73" s="3">
        <v>552</v>
      </c>
      <c r="C73" s="3">
        <v>1035</v>
      </c>
      <c r="D73" s="4">
        <v>0.47</v>
      </c>
      <c r="E73" s="5">
        <v>12</v>
      </c>
      <c r="F73" s="6">
        <v>4.8</v>
      </c>
      <c r="G73" s="3">
        <f>tblProducts[[#This Row],[Old Price]]-tblProducts[[#This Row],[Current Price]]</f>
        <v>483</v>
      </c>
      <c r="H73" s="3" t="str">
        <f>IF(tblProducts[[#This Row],[Rating]]="","Missing",IF(tblProducts[[#This Row],[Rating]]&lt;3,"Poor",IF(tblProducts[[#This Row],[Rating]]&lt;=4.5,"Average","Excellent")))</f>
        <v>Excellent</v>
      </c>
      <c r="I73" s="3" t="str">
        <f>IF(tblProducts[[#This Row],[Discount]]="","Missing",IF(tblProducts[[#This Row],[Discount]]&lt;=20%,"Low Discount",IF(tblProducts[[#This Row],[Discount]]&lt;=40%,"Medium Discount","High Discount")))</f>
        <v>High Discount</v>
      </c>
      <c r="J73" s="3" t="str">
        <f>IF(tblProducts[[#This Row],[Current Price]]&lt;=Price_Q1,"Low Price",IF(tblProducts[[#This Row],[Current Price]]&lt;=Price_Q3,"Medium Price","High Price"))</f>
        <v>Medium Price</v>
      </c>
      <c r="K73" s="3" t="str">
        <f>IF(tblProducts[[#This Row],[Review]]="","Missing",IF(tblProducts[[#This Row],[Review]]&gt;=Review_P75,"High Engagement","Low Engagement"))</f>
        <v>Low Engagement</v>
      </c>
      <c r="L7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73" s="3" t="str">
        <f>IF(AND(tblProducts[[#This Row],[Rating Category]]="Excellent",tblProducts[[#This Row],[Engagement Flag]]="High Engagement"),"Yes","No")</f>
        <v>No</v>
      </c>
      <c r="N73" s="3" t="str">
        <f>IF(AND(tblProducts[[#This Row],[Discount Category]]="High Discount",tblProducts[[#This Row],[Rating Category]]="Poor"),"Yes","No")</f>
        <v>No</v>
      </c>
      <c r="O73" s="3" t="str">
        <f>IF(AND(tblProducts[[#This Row],[Discount Category]]="High Discount",tblProducts[[#This Row],[Rating Category]]="Excellent"),"Yes","No")</f>
        <v>Yes</v>
      </c>
      <c r="P73" s="3" t="str">
        <f>IF(AND(tblProducts[[#This Row],[Rating Category]]="Poor",tblProducts[[#This Row],[Engagement Flag]]="Low Engagement"),"Yes","No")</f>
        <v>No</v>
      </c>
      <c r="Q73" t="s">
        <v>335</v>
      </c>
    </row>
    <row r="74" spans="1:17" x14ac:dyDescent="0.35">
      <c r="A74" t="s">
        <v>56</v>
      </c>
      <c r="B74" s="3">
        <v>332</v>
      </c>
      <c r="C74" s="3">
        <v>684</v>
      </c>
      <c r="D74" s="4">
        <v>0.51</v>
      </c>
      <c r="E74" s="5">
        <v>2</v>
      </c>
      <c r="F74" s="6">
        <v>5</v>
      </c>
      <c r="G74" s="3">
        <f>tblProducts[[#This Row],[Old Price]]-tblProducts[[#This Row],[Current Price]]</f>
        <v>352</v>
      </c>
      <c r="H74" s="3" t="str">
        <f>IF(tblProducts[[#This Row],[Rating]]="","Missing",IF(tblProducts[[#This Row],[Rating]]&lt;3,"Poor",IF(tblProducts[[#This Row],[Rating]]&lt;=4.5,"Average","Excellent")))</f>
        <v>Excellent</v>
      </c>
      <c r="I74" s="3" t="str">
        <f>IF(tblProducts[[#This Row],[Discount]]="","Missing",IF(tblProducts[[#This Row],[Discount]]&lt;=20%,"Low Discount",IF(tblProducts[[#This Row],[Discount]]&lt;=40%,"Medium Discount","High Discount")))</f>
        <v>High Discount</v>
      </c>
      <c r="J74" s="3" t="str">
        <f>IF(tblProducts[[#This Row],[Current Price]]&lt;=Price_Q1,"Low Price",IF(tblProducts[[#This Row],[Current Price]]&lt;=Price_Q3,"Medium Price","High Price"))</f>
        <v>Low Price</v>
      </c>
      <c r="K74" s="3" t="str">
        <f>IF(tblProducts[[#This Row],[Review]]="","Missing",IF(tblProducts[[#This Row],[Review]]&gt;=Review_P75,"High Engagement","Low Engagement"))</f>
        <v>Low Engagement</v>
      </c>
      <c r="L7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74" s="3" t="str">
        <f>IF(AND(tblProducts[[#This Row],[Rating Category]]="Excellent",tblProducts[[#This Row],[Engagement Flag]]="High Engagement"),"Yes","No")</f>
        <v>No</v>
      </c>
      <c r="N74" s="3" t="str">
        <f>IF(AND(tblProducts[[#This Row],[Discount Category]]="High Discount",tblProducts[[#This Row],[Rating Category]]="Poor"),"Yes","No")</f>
        <v>No</v>
      </c>
      <c r="O74" s="3" t="str">
        <f>IF(AND(tblProducts[[#This Row],[Discount Category]]="High Discount",tblProducts[[#This Row],[Rating Category]]="Excellent"),"Yes","No")</f>
        <v>Yes</v>
      </c>
      <c r="P74" s="3" t="str">
        <f>IF(AND(tblProducts[[#This Row],[Rating Category]]="Poor",tblProducts[[#This Row],[Engagement Flag]]="Low Engagement"),"Yes","No")</f>
        <v>No</v>
      </c>
      <c r="Q74" t="s">
        <v>335</v>
      </c>
    </row>
    <row r="75" spans="1:17" x14ac:dyDescent="0.35">
      <c r="A75" t="s">
        <v>60</v>
      </c>
      <c r="B75" s="3">
        <v>195</v>
      </c>
      <c r="C75" s="3">
        <v>360</v>
      </c>
      <c r="D75" s="4">
        <v>0.46</v>
      </c>
      <c r="E75" s="5">
        <v>2</v>
      </c>
      <c r="F75" s="6">
        <v>5</v>
      </c>
      <c r="G75" s="3">
        <f>tblProducts[[#This Row],[Old Price]]-tblProducts[[#This Row],[Current Price]]</f>
        <v>165</v>
      </c>
      <c r="H75" s="3" t="str">
        <f>IF(tblProducts[[#This Row],[Rating]]="","Missing",IF(tblProducts[[#This Row],[Rating]]&lt;3,"Poor",IF(tblProducts[[#This Row],[Rating]]&lt;=4.5,"Average","Excellent")))</f>
        <v>Excellent</v>
      </c>
      <c r="I75" s="3" t="str">
        <f>IF(tblProducts[[#This Row],[Discount]]="","Missing",IF(tblProducts[[#This Row],[Discount]]&lt;=20%,"Low Discount",IF(tblProducts[[#This Row],[Discount]]&lt;=40%,"Medium Discount","High Discount")))</f>
        <v>High Discount</v>
      </c>
      <c r="J75" s="3" t="str">
        <f>IF(tblProducts[[#This Row],[Current Price]]&lt;=Price_Q1,"Low Price",IF(tblProducts[[#This Row],[Current Price]]&lt;=Price_Q3,"Medium Price","High Price"))</f>
        <v>Low Price</v>
      </c>
      <c r="K75" s="3" t="str">
        <f>IF(tblProducts[[#This Row],[Review]]="","Missing",IF(tblProducts[[#This Row],[Review]]&gt;=Review_P75,"High Engagement","Low Engagement"))</f>
        <v>Low Engagement</v>
      </c>
      <c r="L7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75" s="3" t="str">
        <f>IF(AND(tblProducts[[#This Row],[Rating Category]]="Excellent",tblProducts[[#This Row],[Engagement Flag]]="High Engagement"),"Yes","No")</f>
        <v>No</v>
      </c>
      <c r="N75" s="3" t="str">
        <f>IF(AND(tblProducts[[#This Row],[Discount Category]]="High Discount",tblProducts[[#This Row],[Rating Category]]="Poor"),"Yes","No")</f>
        <v>No</v>
      </c>
      <c r="O75" s="3" t="str">
        <f>IF(AND(tblProducts[[#This Row],[Discount Category]]="High Discount",tblProducts[[#This Row],[Rating Category]]="Excellent"),"Yes","No")</f>
        <v>Yes</v>
      </c>
      <c r="P75" s="3" t="str">
        <f>IF(AND(tblProducts[[#This Row],[Rating Category]]="Poor",tblProducts[[#This Row],[Engagement Flag]]="Low Engagement"),"Yes","No")</f>
        <v>No</v>
      </c>
      <c r="Q75" t="s">
        <v>335</v>
      </c>
    </row>
    <row r="76" spans="1:17" x14ac:dyDescent="0.35">
      <c r="A76" t="s">
        <v>233</v>
      </c>
      <c r="B76" s="3">
        <v>790</v>
      </c>
      <c r="C76" s="3">
        <v>1485</v>
      </c>
      <c r="D76" s="4">
        <v>0.47</v>
      </c>
      <c r="E76" s="5"/>
      <c r="F76" s="6"/>
      <c r="G76" s="3">
        <f>tblProducts[[#This Row],[Old Price]]-tblProducts[[#This Row],[Current Price]]</f>
        <v>695</v>
      </c>
      <c r="H76" s="3" t="str">
        <f>IF(tblProducts[[#This Row],[Rating]]="","Missing",IF(tblProducts[[#This Row],[Rating]]&lt;3,"Poor",IF(tblProducts[[#This Row],[Rating]]&lt;=4.5,"Average","Excellent")))</f>
        <v>Missing</v>
      </c>
      <c r="I76" s="3" t="str">
        <f>IF(tblProducts[[#This Row],[Discount]]="","Missing",IF(tblProducts[[#This Row],[Discount]]&lt;=20%,"Low Discount",IF(tblProducts[[#This Row],[Discount]]&lt;=40%,"Medium Discount","High Discount")))</f>
        <v>High Discount</v>
      </c>
      <c r="J76" s="3" t="str">
        <f>IF(tblProducts[[#This Row],[Current Price]]&lt;=Price_Q1,"Low Price",IF(tblProducts[[#This Row],[Current Price]]&lt;=Price_Q3,"Medium Price","High Price"))</f>
        <v>Medium Price</v>
      </c>
      <c r="K76" s="3" t="str">
        <f>IF(tblProducts[[#This Row],[Review]]="","Missing",IF(tblProducts[[#This Row],[Review]]&gt;=Review_P75,"High Engagement","Low Engagement"))</f>
        <v>Missing</v>
      </c>
      <c r="L7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76" s="3" t="str">
        <f>IF(AND(tblProducts[[#This Row],[Rating Category]]="Excellent",tblProducts[[#This Row],[Engagement Flag]]="High Engagement"),"Yes","No")</f>
        <v>No</v>
      </c>
      <c r="N76" s="3" t="str">
        <f>IF(AND(tblProducts[[#This Row],[Discount Category]]="High Discount",tblProducts[[#This Row],[Rating Category]]="Poor"),"Yes","No")</f>
        <v>No</v>
      </c>
      <c r="O76" s="3" t="str">
        <f>IF(AND(tblProducts[[#This Row],[Discount Category]]="High Discount",tblProducts[[#This Row],[Rating Category]]="Excellent"),"Yes","No")</f>
        <v>No</v>
      </c>
      <c r="P76" s="3" t="str">
        <f>IF(AND(tblProducts[[#This Row],[Rating Category]]="Poor",tblProducts[[#This Row],[Engagement Flag]]="Low Engagement"),"Yes","No")</f>
        <v>No</v>
      </c>
      <c r="Q76" t="s">
        <v>334</v>
      </c>
    </row>
    <row r="77" spans="1:17" x14ac:dyDescent="0.35">
      <c r="A77" t="s">
        <v>236</v>
      </c>
      <c r="B77" s="3">
        <v>690</v>
      </c>
      <c r="C77" s="3">
        <v>1200</v>
      </c>
      <c r="D77" s="4">
        <v>0.43</v>
      </c>
      <c r="E77" s="5"/>
      <c r="F77" s="6"/>
      <c r="G77" s="3">
        <f>tblProducts[[#This Row],[Old Price]]-tblProducts[[#This Row],[Current Price]]</f>
        <v>510</v>
      </c>
      <c r="H77" s="3" t="str">
        <f>IF(tblProducts[[#This Row],[Rating]]="","Missing",IF(tblProducts[[#This Row],[Rating]]&lt;3,"Poor",IF(tblProducts[[#This Row],[Rating]]&lt;=4.5,"Average","Excellent")))</f>
        <v>Missing</v>
      </c>
      <c r="I77" s="3" t="str">
        <f>IF(tblProducts[[#This Row],[Discount]]="","Missing",IF(tblProducts[[#This Row],[Discount]]&lt;=20%,"Low Discount",IF(tblProducts[[#This Row],[Discount]]&lt;=40%,"Medium Discount","High Discount")))</f>
        <v>High Discount</v>
      </c>
      <c r="J77" s="3" t="str">
        <f>IF(tblProducts[[#This Row],[Current Price]]&lt;=Price_Q1,"Low Price",IF(tblProducts[[#This Row],[Current Price]]&lt;=Price_Q3,"Medium Price","High Price"))</f>
        <v>Medium Price</v>
      </c>
      <c r="K77" s="3" t="str">
        <f>IF(tblProducts[[#This Row],[Review]]="","Missing",IF(tblProducts[[#This Row],[Review]]&gt;=Review_P75,"High Engagement","Low Engagement"))</f>
        <v>Missing</v>
      </c>
      <c r="L7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77" s="3" t="str">
        <f>IF(AND(tblProducts[[#This Row],[Rating Category]]="Excellent",tblProducts[[#This Row],[Engagement Flag]]="High Engagement"),"Yes","No")</f>
        <v>No</v>
      </c>
      <c r="N77" s="3" t="str">
        <f>IF(AND(tblProducts[[#This Row],[Discount Category]]="High Discount",tblProducts[[#This Row],[Rating Category]]="Poor"),"Yes","No")</f>
        <v>No</v>
      </c>
      <c r="O77" s="3" t="str">
        <f>IF(AND(tblProducts[[#This Row],[Discount Category]]="High Discount",tblProducts[[#This Row],[Rating Category]]="Excellent"),"Yes","No")</f>
        <v>No</v>
      </c>
      <c r="P77" s="3" t="str">
        <f>IF(AND(tblProducts[[#This Row],[Rating Category]]="Poor",tblProducts[[#This Row],[Engagement Flag]]="Low Engagement"),"Yes","No")</f>
        <v>No</v>
      </c>
      <c r="Q77" t="s">
        <v>334</v>
      </c>
    </row>
    <row r="78" spans="1:17" x14ac:dyDescent="0.35">
      <c r="A78" t="s">
        <v>238</v>
      </c>
      <c r="B78" s="3">
        <v>1732</v>
      </c>
      <c r="C78" s="3">
        <v>1799</v>
      </c>
      <c r="D78" s="4">
        <v>0.04</v>
      </c>
      <c r="E78" s="5"/>
      <c r="F78" s="6"/>
      <c r="G78" s="3">
        <f>tblProducts[[#This Row],[Old Price]]-tblProducts[[#This Row],[Current Price]]</f>
        <v>67</v>
      </c>
      <c r="H78" s="3" t="str">
        <f>IF(tblProducts[[#This Row],[Rating]]="","Missing",IF(tblProducts[[#This Row],[Rating]]&lt;3,"Poor",IF(tblProducts[[#This Row],[Rating]]&lt;=4.5,"Average","Excellent")))</f>
        <v>Missing</v>
      </c>
      <c r="I78" s="3" t="str">
        <f>IF(tblProducts[[#This Row],[Discount]]="","Missing",IF(tblProducts[[#This Row],[Discount]]&lt;=20%,"Low Discount",IF(tblProducts[[#This Row],[Discount]]&lt;=40%,"Medium Discount","High Discount")))</f>
        <v>Low Discount</v>
      </c>
      <c r="J78" s="3" t="str">
        <f>IF(tblProducts[[#This Row],[Current Price]]&lt;=Price_Q1,"Low Price",IF(tblProducts[[#This Row],[Current Price]]&lt;=Price_Q3,"Medium Price","High Price"))</f>
        <v>High Price</v>
      </c>
      <c r="K78" s="3" t="str">
        <f>IF(tblProducts[[#This Row],[Review]]="","Missing",IF(tblProducts[[#This Row],[Review]]&gt;=Review_P75,"High Engagement","Low Engagement"))</f>
        <v>Missing</v>
      </c>
      <c r="L7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78" s="3" t="str">
        <f>IF(AND(tblProducts[[#This Row],[Rating Category]]="Excellent",tblProducts[[#This Row],[Engagement Flag]]="High Engagement"),"Yes","No")</f>
        <v>No</v>
      </c>
      <c r="N78" s="3" t="str">
        <f>IF(AND(tblProducts[[#This Row],[Discount Category]]="High Discount",tblProducts[[#This Row],[Rating Category]]="Poor"),"Yes","No")</f>
        <v>No</v>
      </c>
      <c r="O78" s="3" t="str">
        <f>IF(AND(tblProducts[[#This Row],[Discount Category]]="High Discount",tblProducts[[#This Row],[Rating Category]]="Excellent"),"Yes","No")</f>
        <v>No</v>
      </c>
      <c r="P78" s="3" t="str">
        <f>IF(AND(tblProducts[[#This Row],[Rating Category]]="Poor",tblProducts[[#This Row],[Engagement Flag]]="Low Engagement"),"Yes","No")</f>
        <v>No</v>
      </c>
      <c r="Q78" t="s">
        <v>334</v>
      </c>
    </row>
    <row r="79" spans="1:17" x14ac:dyDescent="0.35">
      <c r="A79" t="s">
        <v>241</v>
      </c>
      <c r="B79" s="3">
        <v>230</v>
      </c>
      <c r="C79" s="3">
        <v>450</v>
      </c>
      <c r="D79" s="4">
        <v>0.49</v>
      </c>
      <c r="E79" s="5"/>
      <c r="F79" s="6"/>
      <c r="G79" s="3">
        <f>tblProducts[[#This Row],[Old Price]]-tblProducts[[#This Row],[Current Price]]</f>
        <v>220</v>
      </c>
      <c r="H79" s="3" t="str">
        <f>IF(tblProducts[[#This Row],[Rating]]="","Missing",IF(tblProducts[[#This Row],[Rating]]&lt;3,"Poor",IF(tblProducts[[#This Row],[Rating]]&lt;=4.5,"Average","Excellent")))</f>
        <v>Missing</v>
      </c>
      <c r="I79" s="3" t="str">
        <f>IF(tblProducts[[#This Row],[Discount]]="","Missing",IF(tblProducts[[#This Row],[Discount]]&lt;=20%,"Low Discount",IF(tblProducts[[#This Row],[Discount]]&lt;=40%,"Medium Discount","High Discount")))</f>
        <v>High Discount</v>
      </c>
      <c r="J79" s="3" t="str">
        <f>IF(tblProducts[[#This Row],[Current Price]]&lt;=Price_Q1,"Low Price",IF(tblProducts[[#This Row],[Current Price]]&lt;=Price_Q3,"Medium Price","High Price"))</f>
        <v>Low Price</v>
      </c>
      <c r="K79" s="3" t="str">
        <f>IF(tblProducts[[#This Row],[Review]]="","Missing",IF(tblProducts[[#This Row],[Review]]&gt;=Review_P75,"High Engagement","Low Engagement"))</f>
        <v>Missing</v>
      </c>
      <c r="L7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79" s="3" t="str">
        <f>IF(AND(tblProducts[[#This Row],[Rating Category]]="Excellent",tblProducts[[#This Row],[Engagement Flag]]="High Engagement"),"Yes","No")</f>
        <v>No</v>
      </c>
      <c r="N79" s="3" t="str">
        <f>IF(AND(tblProducts[[#This Row],[Discount Category]]="High Discount",tblProducts[[#This Row],[Rating Category]]="Poor"),"Yes","No")</f>
        <v>No</v>
      </c>
      <c r="O79" s="3" t="str">
        <f>IF(AND(tblProducts[[#This Row],[Discount Category]]="High Discount",tblProducts[[#This Row],[Rating Category]]="Excellent"),"Yes","No")</f>
        <v>No</v>
      </c>
      <c r="P79" s="3" t="str">
        <f>IF(AND(tblProducts[[#This Row],[Rating Category]]="Poor",tblProducts[[#This Row],[Engagement Flag]]="Low Engagement"),"Yes","No")</f>
        <v>No</v>
      </c>
      <c r="Q79" t="s">
        <v>334</v>
      </c>
    </row>
    <row r="80" spans="1:17" x14ac:dyDescent="0.35">
      <c r="A80" t="s">
        <v>63</v>
      </c>
      <c r="B80" s="3">
        <v>2025</v>
      </c>
      <c r="C80" s="3">
        <v>3971</v>
      </c>
      <c r="D80" s="4">
        <v>0.49</v>
      </c>
      <c r="E80" s="5">
        <v>3</v>
      </c>
      <c r="F80" s="6">
        <v>5</v>
      </c>
      <c r="G80" s="3">
        <f>tblProducts[[#This Row],[Old Price]]-tblProducts[[#This Row],[Current Price]]</f>
        <v>1946</v>
      </c>
      <c r="H80" s="3" t="str">
        <f>IF(tblProducts[[#This Row],[Rating]]="","Missing",IF(tblProducts[[#This Row],[Rating]]&lt;3,"Poor",IF(tblProducts[[#This Row],[Rating]]&lt;=4.5,"Average","Excellent")))</f>
        <v>Excellent</v>
      </c>
      <c r="I80" s="3" t="str">
        <f>IF(tblProducts[[#This Row],[Discount]]="","Missing",IF(tblProducts[[#This Row],[Discount]]&lt;=20%,"Low Discount",IF(tblProducts[[#This Row],[Discount]]&lt;=40%,"Medium Discount","High Discount")))</f>
        <v>High Discount</v>
      </c>
      <c r="J80" s="3" t="str">
        <f>IF(tblProducts[[#This Row],[Current Price]]&lt;=Price_Q1,"Low Price",IF(tblProducts[[#This Row],[Current Price]]&lt;=Price_Q3,"Medium Price","High Price"))</f>
        <v>High Price</v>
      </c>
      <c r="K80" s="3" t="str">
        <f>IF(tblProducts[[#This Row],[Review]]="","Missing",IF(tblProducts[[#This Row],[Review]]&gt;=Review_P75,"High Engagement","Low Engagement"))</f>
        <v>Low Engagement</v>
      </c>
      <c r="L8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80" s="3" t="str">
        <f>IF(AND(tblProducts[[#This Row],[Rating Category]]="Excellent",tblProducts[[#This Row],[Engagement Flag]]="High Engagement"),"Yes","No")</f>
        <v>No</v>
      </c>
      <c r="N80" s="3" t="str">
        <f>IF(AND(tblProducts[[#This Row],[Discount Category]]="High Discount",tblProducts[[#This Row],[Rating Category]]="Poor"),"Yes","No")</f>
        <v>No</v>
      </c>
      <c r="O80" s="3" t="str">
        <f>IF(AND(tblProducts[[#This Row],[Discount Category]]="High Discount",tblProducts[[#This Row],[Rating Category]]="Excellent"),"Yes","No")</f>
        <v>Yes</v>
      </c>
      <c r="P80" s="3" t="str">
        <f>IF(AND(tblProducts[[#This Row],[Rating Category]]="Poor",tblProducts[[#This Row],[Engagement Flag]]="Low Engagement"),"Yes","No")</f>
        <v>No</v>
      </c>
      <c r="Q80" t="s">
        <v>335</v>
      </c>
    </row>
    <row r="81" spans="1:17" x14ac:dyDescent="0.35">
      <c r="A81" t="s">
        <v>118</v>
      </c>
      <c r="B81" s="3">
        <v>1620</v>
      </c>
      <c r="C81" s="3">
        <v>2690</v>
      </c>
      <c r="D81" s="4">
        <v>0.4</v>
      </c>
      <c r="E81" s="5">
        <v>1</v>
      </c>
      <c r="F81" s="6">
        <v>5</v>
      </c>
      <c r="G81" s="3">
        <f>tblProducts[[#This Row],[Old Price]]-tblProducts[[#This Row],[Current Price]]</f>
        <v>1070</v>
      </c>
      <c r="H81" s="3" t="str">
        <f>IF(tblProducts[[#This Row],[Rating]]="","Missing",IF(tblProducts[[#This Row],[Rating]]&lt;3,"Poor",IF(tblProducts[[#This Row],[Rating]]&lt;=4.5,"Average","Excellent")))</f>
        <v>Excellent</v>
      </c>
      <c r="I81" s="3" t="str">
        <f>IF(tblProducts[[#This Row],[Discount]]="","Missing",IF(tblProducts[[#This Row],[Discount]]&lt;=20%,"Low Discount",IF(tblProducts[[#This Row],[Discount]]&lt;=40%,"Medium Discount","High Discount")))</f>
        <v>Medium Discount</v>
      </c>
      <c r="J81" s="3" t="str">
        <f>IF(tblProducts[[#This Row],[Current Price]]&lt;=Price_Q1,"Low Price",IF(tblProducts[[#This Row],[Current Price]]&lt;=Price_Q3,"Medium Price","High Price"))</f>
        <v>Medium Price</v>
      </c>
      <c r="K81" s="3" t="str">
        <f>IF(tblProducts[[#This Row],[Review]]="","Missing",IF(tblProducts[[#This Row],[Review]]&gt;=Review_P75,"High Engagement","Low Engagement"))</f>
        <v>Low Engagement</v>
      </c>
      <c r="L8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81" s="3" t="str">
        <f>IF(AND(tblProducts[[#This Row],[Rating Category]]="Excellent",tblProducts[[#This Row],[Engagement Flag]]="High Engagement"),"Yes","No")</f>
        <v>No</v>
      </c>
      <c r="N81" s="3" t="str">
        <f>IF(AND(tblProducts[[#This Row],[Discount Category]]="High Discount",tblProducts[[#This Row],[Rating Category]]="Poor"),"Yes","No")</f>
        <v>No</v>
      </c>
      <c r="O81" s="3" t="str">
        <f>IF(AND(tblProducts[[#This Row],[Discount Category]]="High Discount",tblProducts[[#This Row],[Rating Category]]="Excellent"),"Yes","No")</f>
        <v>No</v>
      </c>
      <c r="P81" s="3" t="str">
        <f>IF(AND(tblProducts[[#This Row],[Rating Category]]="Poor",tblProducts[[#This Row],[Engagement Flag]]="Low Engagement"),"Yes","No")</f>
        <v>No</v>
      </c>
      <c r="Q81" t="s">
        <v>335</v>
      </c>
    </row>
    <row r="82" spans="1:17" x14ac:dyDescent="0.35">
      <c r="A82" t="s">
        <v>249</v>
      </c>
      <c r="B82" s="3">
        <v>1460</v>
      </c>
      <c r="C82" s="3">
        <v>2290</v>
      </c>
      <c r="D82" s="4">
        <v>0.36</v>
      </c>
      <c r="E82" s="5"/>
      <c r="F82" s="6"/>
      <c r="G82" s="3">
        <f>tblProducts[[#This Row],[Old Price]]-tblProducts[[#This Row],[Current Price]]</f>
        <v>830</v>
      </c>
      <c r="H82" s="3" t="str">
        <f>IF(tblProducts[[#This Row],[Rating]]="","Missing",IF(tblProducts[[#This Row],[Rating]]&lt;3,"Poor",IF(tblProducts[[#This Row],[Rating]]&lt;=4.5,"Average","Excellent")))</f>
        <v>Missing</v>
      </c>
      <c r="I82" s="3" t="str">
        <f>IF(tblProducts[[#This Row],[Discount]]="","Missing",IF(tblProducts[[#This Row],[Discount]]&lt;=20%,"Low Discount",IF(tblProducts[[#This Row],[Discount]]&lt;=40%,"Medium Discount","High Discount")))</f>
        <v>Medium Discount</v>
      </c>
      <c r="J82" s="3" t="str">
        <f>IF(tblProducts[[#This Row],[Current Price]]&lt;=Price_Q1,"Low Price",IF(tblProducts[[#This Row],[Current Price]]&lt;=Price_Q3,"Medium Price","High Price"))</f>
        <v>Medium Price</v>
      </c>
      <c r="K82" s="3" t="str">
        <f>IF(tblProducts[[#This Row],[Review]]="","Missing",IF(tblProducts[[#This Row],[Review]]&gt;=Review_P75,"High Engagement","Low Engagement"))</f>
        <v>Missing</v>
      </c>
      <c r="L8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2" s="3" t="str">
        <f>IF(AND(tblProducts[[#This Row],[Rating Category]]="Excellent",tblProducts[[#This Row],[Engagement Flag]]="High Engagement"),"Yes","No")</f>
        <v>No</v>
      </c>
      <c r="N82" s="3" t="str">
        <f>IF(AND(tblProducts[[#This Row],[Discount Category]]="High Discount",tblProducts[[#This Row],[Rating Category]]="Poor"),"Yes","No")</f>
        <v>No</v>
      </c>
      <c r="O82" s="3" t="str">
        <f>IF(AND(tblProducts[[#This Row],[Discount Category]]="High Discount",tblProducts[[#This Row],[Rating Category]]="Excellent"),"Yes","No")</f>
        <v>No</v>
      </c>
      <c r="P82" s="3" t="str">
        <f>IF(AND(tblProducts[[#This Row],[Rating Category]]="Poor",tblProducts[[#This Row],[Engagement Flag]]="Low Engagement"),"Yes","No")</f>
        <v>No</v>
      </c>
      <c r="Q82" t="s">
        <v>334</v>
      </c>
    </row>
    <row r="83" spans="1:17" x14ac:dyDescent="0.35">
      <c r="A83" t="s">
        <v>252</v>
      </c>
      <c r="B83" s="3">
        <v>1666</v>
      </c>
      <c r="C83" s="3">
        <v>1699</v>
      </c>
      <c r="D83" s="4">
        <v>0.02</v>
      </c>
      <c r="E83" s="5"/>
      <c r="F83" s="6"/>
      <c r="G83" s="3">
        <f>tblProducts[[#This Row],[Old Price]]-tblProducts[[#This Row],[Current Price]]</f>
        <v>33</v>
      </c>
      <c r="H83" s="3" t="str">
        <f>IF(tblProducts[[#This Row],[Rating]]="","Missing",IF(tblProducts[[#This Row],[Rating]]&lt;3,"Poor",IF(tblProducts[[#This Row],[Rating]]&lt;=4.5,"Average","Excellent")))</f>
        <v>Missing</v>
      </c>
      <c r="I83" s="3" t="str">
        <f>IF(tblProducts[[#This Row],[Discount]]="","Missing",IF(tblProducts[[#This Row],[Discount]]&lt;=20%,"Low Discount",IF(tblProducts[[#This Row],[Discount]]&lt;=40%,"Medium Discount","High Discount")))</f>
        <v>Low Discount</v>
      </c>
      <c r="J83" s="3" t="str">
        <f>IF(tblProducts[[#This Row],[Current Price]]&lt;=Price_Q1,"Low Price",IF(tblProducts[[#This Row],[Current Price]]&lt;=Price_Q3,"Medium Price","High Price"))</f>
        <v>Medium Price</v>
      </c>
      <c r="K83" s="3" t="str">
        <f>IF(tblProducts[[#This Row],[Review]]="","Missing",IF(tblProducts[[#This Row],[Review]]&gt;=Review_P75,"High Engagement","Low Engagement"))</f>
        <v>Missing</v>
      </c>
      <c r="L8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3" s="3" t="str">
        <f>IF(AND(tblProducts[[#This Row],[Rating Category]]="Excellent",tblProducts[[#This Row],[Engagement Flag]]="High Engagement"),"Yes","No")</f>
        <v>No</v>
      </c>
      <c r="N83" s="3" t="str">
        <f>IF(AND(tblProducts[[#This Row],[Discount Category]]="High Discount",tblProducts[[#This Row],[Rating Category]]="Poor"),"Yes","No")</f>
        <v>No</v>
      </c>
      <c r="O83" s="3" t="str">
        <f>IF(AND(tblProducts[[#This Row],[Discount Category]]="High Discount",tblProducts[[#This Row],[Rating Category]]="Excellent"),"Yes","No")</f>
        <v>No</v>
      </c>
      <c r="P83" s="3" t="str">
        <f>IF(AND(tblProducts[[#This Row],[Rating Category]]="Poor",tblProducts[[#This Row],[Engagement Flag]]="Low Engagement"),"Yes","No")</f>
        <v>No</v>
      </c>
      <c r="Q83" t="s">
        <v>334</v>
      </c>
    </row>
    <row r="84" spans="1:17" x14ac:dyDescent="0.35">
      <c r="A84" t="s">
        <v>121</v>
      </c>
      <c r="B84" s="3">
        <v>171</v>
      </c>
      <c r="C84" s="3">
        <v>360</v>
      </c>
      <c r="D84" s="4">
        <v>0.53</v>
      </c>
      <c r="E84" s="5">
        <v>2</v>
      </c>
      <c r="F84" s="6">
        <v>5</v>
      </c>
      <c r="G84" s="3">
        <f>tblProducts[[#This Row],[Old Price]]-tblProducts[[#This Row],[Current Price]]</f>
        <v>189</v>
      </c>
      <c r="H84" s="3" t="str">
        <f>IF(tblProducts[[#This Row],[Rating]]="","Missing",IF(tblProducts[[#This Row],[Rating]]&lt;3,"Poor",IF(tblProducts[[#This Row],[Rating]]&lt;=4.5,"Average","Excellent")))</f>
        <v>Excellent</v>
      </c>
      <c r="I84" s="3" t="str">
        <f>IF(tblProducts[[#This Row],[Discount]]="","Missing",IF(tblProducts[[#This Row],[Discount]]&lt;=20%,"Low Discount",IF(tblProducts[[#This Row],[Discount]]&lt;=40%,"Medium Discount","High Discount")))</f>
        <v>High Discount</v>
      </c>
      <c r="J84" s="3" t="str">
        <f>IF(tblProducts[[#This Row],[Current Price]]&lt;=Price_Q1,"Low Price",IF(tblProducts[[#This Row],[Current Price]]&lt;=Price_Q3,"Medium Price","High Price"))</f>
        <v>Low Price</v>
      </c>
      <c r="K84" s="3" t="str">
        <f>IF(tblProducts[[#This Row],[Review]]="","Missing",IF(tblProducts[[#This Row],[Review]]&gt;=Review_P75,"High Engagement","Low Engagement"))</f>
        <v>Low Engagement</v>
      </c>
      <c r="L8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84" s="3" t="str">
        <f>IF(AND(tblProducts[[#This Row],[Rating Category]]="Excellent",tblProducts[[#This Row],[Engagement Flag]]="High Engagement"),"Yes","No")</f>
        <v>No</v>
      </c>
      <c r="N84" s="3" t="str">
        <f>IF(AND(tblProducts[[#This Row],[Discount Category]]="High Discount",tblProducts[[#This Row],[Rating Category]]="Poor"),"Yes","No")</f>
        <v>No</v>
      </c>
      <c r="O84" s="3" t="str">
        <f>IF(AND(tblProducts[[#This Row],[Discount Category]]="High Discount",tblProducts[[#This Row],[Rating Category]]="Excellent"),"Yes","No")</f>
        <v>Yes</v>
      </c>
      <c r="P84" s="3" t="str">
        <f>IF(AND(tblProducts[[#This Row],[Rating Category]]="Poor",tblProducts[[#This Row],[Engagement Flag]]="Low Engagement"),"Yes","No")</f>
        <v>No</v>
      </c>
      <c r="Q84" t="s">
        <v>335</v>
      </c>
    </row>
    <row r="85" spans="1:17" x14ac:dyDescent="0.35">
      <c r="A85" t="s">
        <v>155</v>
      </c>
      <c r="B85" s="3">
        <v>176</v>
      </c>
      <c r="C85" s="3">
        <v>345</v>
      </c>
      <c r="D85" s="4">
        <v>0.49</v>
      </c>
      <c r="E85" s="5"/>
      <c r="F85" s="6"/>
      <c r="G85" s="3">
        <f>tblProducts[[#This Row],[Old Price]]-tblProducts[[#This Row],[Current Price]]</f>
        <v>169</v>
      </c>
      <c r="H85" s="3" t="str">
        <f>IF(tblProducts[[#This Row],[Rating]]="","Missing",IF(tblProducts[[#This Row],[Rating]]&lt;3,"Poor",IF(tblProducts[[#This Row],[Rating]]&lt;=4.5,"Average","Excellent")))</f>
        <v>Missing</v>
      </c>
      <c r="I85" s="3" t="str">
        <f>IF(tblProducts[[#This Row],[Discount]]="","Missing",IF(tblProducts[[#This Row],[Discount]]&lt;=20%,"Low Discount",IF(tblProducts[[#This Row],[Discount]]&lt;=40%,"Medium Discount","High Discount")))</f>
        <v>High Discount</v>
      </c>
      <c r="J85" s="3" t="str">
        <f>IF(tblProducts[[#This Row],[Current Price]]&lt;=Price_Q1,"Low Price",IF(tblProducts[[#This Row],[Current Price]]&lt;=Price_Q3,"Medium Price","High Price"))</f>
        <v>Low Price</v>
      </c>
      <c r="K85" s="3" t="str">
        <f>IF(tblProducts[[#This Row],[Review]]="","Missing",IF(tblProducts[[#This Row],[Review]]&gt;=Review_P75,"High Engagement","Low Engagement"))</f>
        <v>Missing</v>
      </c>
      <c r="L8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5" s="3" t="str">
        <f>IF(AND(tblProducts[[#This Row],[Rating Category]]="Excellent",tblProducts[[#This Row],[Engagement Flag]]="High Engagement"),"Yes","No")</f>
        <v>No</v>
      </c>
      <c r="N85" s="3" t="str">
        <f>IF(AND(tblProducts[[#This Row],[Discount Category]]="High Discount",tblProducts[[#This Row],[Rating Category]]="Poor"),"Yes","No")</f>
        <v>No</v>
      </c>
      <c r="O85" s="3" t="str">
        <f>IF(AND(tblProducts[[#This Row],[Discount Category]]="High Discount",tblProducts[[#This Row],[Rating Category]]="Excellent"),"Yes","No")</f>
        <v>No</v>
      </c>
      <c r="P85" s="3" t="str">
        <f>IF(AND(tblProducts[[#This Row],[Rating Category]]="Poor",tblProducts[[#This Row],[Engagement Flag]]="Low Engagement"),"Yes","No")</f>
        <v>No</v>
      </c>
      <c r="Q85" t="s">
        <v>334</v>
      </c>
    </row>
    <row r="86" spans="1:17" x14ac:dyDescent="0.35">
      <c r="A86" t="s">
        <v>257</v>
      </c>
      <c r="B86" s="3">
        <v>1466</v>
      </c>
      <c r="C86" s="3">
        <v>1699</v>
      </c>
      <c r="D86" s="4">
        <v>0.14000000000000001</v>
      </c>
      <c r="E86" s="5"/>
      <c r="F86" s="6"/>
      <c r="G86" s="3">
        <f>tblProducts[[#This Row],[Old Price]]-tblProducts[[#This Row],[Current Price]]</f>
        <v>233</v>
      </c>
      <c r="H86" s="3" t="str">
        <f>IF(tblProducts[[#This Row],[Rating]]="","Missing",IF(tblProducts[[#This Row],[Rating]]&lt;3,"Poor",IF(tblProducts[[#This Row],[Rating]]&lt;=4.5,"Average","Excellent")))</f>
        <v>Missing</v>
      </c>
      <c r="I86" s="3" t="str">
        <f>IF(tblProducts[[#This Row],[Discount]]="","Missing",IF(tblProducts[[#This Row],[Discount]]&lt;=20%,"Low Discount",IF(tblProducts[[#This Row],[Discount]]&lt;=40%,"Medium Discount","High Discount")))</f>
        <v>Low Discount</v>
      </c>
      <c r="J86" s="3" t="str">
        <f>IF(tblProducts[[#This Row],[Current Price]]&lt;=Price_Q1,"Low Price",IF(tblProducts[[#This Row],[Current Price]]&lt;=Price_Q3,"Medium Price","High Price"))</f>
        <v>Medium Price</v>
      </c>
      <c r="K86" s="3" t="str">
        <f>IF(tblProducts[[#This Row],[Review]]="","Missing",IF(tblProducts[[#This Row],[Review]]&gt;=Review_P75,"High Engagement","Low Engagement"))</f>
        <v>Missing</v>
      </c>
      <c r="L8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6" s="3" t="str">
        <f>IF(AND(tblProducts[[#This Row],[Rating Category]]="Excellent",tblProducts[[#This Row],[Engagement Flag]]="High Engagement"),"Yes","No")</f>
        <v>No</v>
      </c>
      <c r="N86" s="3" t="str">
        <f>IF(AND(tblProducts[[#This Row],[Discount Category]]="High Discount",tblProducts[[#This Row],[Rating Category]]="Poor"),"Yes","No")</f>
        <v>No</v>
      </c>
      <c r="O86" s="3" t="str">
        <f>IF(AND(tblProducts[[#This Row],[Discount Category]]="High Discount",tblProducts[[#This Row],[Rating Category]]="Excellent"),"Yes","No")</f>
        <v>No</v>
      </c>
      <c r="P86" s="3" t="str">
        <f>IF(AND(tblProducts[[#This Row],[Rating Category]]="Poor",tblProducts[[#This Row],[Engagement Flag]]="Low Engagement"),"Yes","No")</f>
        <v>No</v>
      </c>
      <c r="Q86" t="s">
        <v>334</v>
      </c>
    </row>
    <row r="87" spans="1:17" x14ac:dyDescent="0.35">
      <c r="A87" t="s">
        <v>259</v>
      </c>
      <c r="B87" s="3">
        <v>274</v>
      </c>
      <c r="C87" s="3">
        <v>537</v>
      </c>
      <c r="D87" s="4">
        <v>0.49</v>
      </c>
      <c r="E87" s="5"/>
      <c r="F87" s="6"/>
      <c r="G87" s="3">
        <f>tblProducts[[#This Row],[Old Price]]-tblProducts[[#This Row],[Current Price]]</f>
        <v>263</v>
      </c>
      <c r="H87" s="3" t="str">
        <f>IF(tblProducts[[#This Row],[Rating]]="","Missing",IF(tblProducts[[#This Row],[Rating]]&lt;3,"Poor",IF(tblProducts[[#This Row],[Rating]]&lt;=4.5,"Average","Excellent")))</f>
        <v>Missing</v>
      </c>
      <c r="I87" s="3" t="str">
        <f>IF(tblProducts[[#This Row],[Discount]]="","Missing",IF(tblProducts[[#This Row],[Discount]]&lt;=20%,"Low Discount",IF(tblProducts[[#This Row],[Discount]]&lt;=40%,"Medium Discount","High Discount")))</f>
        <v>High Discount</v>
      </c>
      <c r="J87" s="3" t="str">
        <f>IF(tblProducts[[#This Row],[Current Price]]&lt;=Price_Q1,"Low Price",IF(tblProducts[[#This Row],[Current Price]]&lt;=Price_Q3,"Medium Price","High Price"))</f>
        <v>Low Price</v>
      </c>
      <c r="K87" s="3" t="str">
        <f>IF(tblProducts[[#This Row],[Review]]="","Missing",IF(tblProducts[[#This Row],[Review]]&gt;=Review_P75,"High Engagement","Low Engagement"))</f>
        <v>Missing</v>
      </c>
      <c r="L8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7" s="3" t="str">
        <f>IF(AND(tblProducts[[#This Row],[Rating Category]]="Excellent",tblProducts[[#This Row],[Engagement Flag]]="High Engagement"),"Yes","No")</f>
        <v>No</v>
      </c>
      <c r="N87" s="3" t="str">
        <f>IF(AND(tblProducts[[#This Row],[Discount Category]]="High Discount",tblProducts[[#This Row],[Rating Category]]="Poor"),"Yes","No")</f>
        <v>No</v>
      </c>
      <c r="O87" s="3" t="str">
        <f>IF(AND(tblProducts[[#This Row],[Discount Category]]="High Discount",tblProducts[[#This Row],[Rating Category]]="Excellent"),"Yes","No")</f>
        <v>No</v>
      </c>
      <c r="P87" s="3" t="str">
        <f>IF(AND(tblProducts[[#This Row],[Rating Category]]="Poor",tblProducts[[#This Row],[Engagement Flag]]="Low Engagement"),"Yes","No")</f>
        <v>No</v>
      </c>
      <c r="Q87" t="s">
        <v>334</v>
      </c>
    </row>
    <row r="88" spans="1:17" x14ac:dyDescent="0.35">
      <c r="A88" t="s">
        <v>262</v>
      </c>
      <c r="B88" s="3">
        <v>799</v>
      </c>
      <c r="C88" s="3">
        <v>900</v>
      </c>
      <c r="D88" s="4">
        <v>0.11</v>
      </c>
      <c r="E88" s="5"/>
      <c r="F88" s="6"/>
      <c r="G88" s="3">
        <f>tblProducts[[#This Row],[Old Price]]-tblProducts[[#This Row],[Current Price]]</f>
        <v>101</v>
      </c>
      <c r="H88" s="3" t="str">
        <f>IF(tblProducts[[#This Row],[Rating]]="","Missing",IF(tblProducts[[#This Row],[Rating]]&lt;3,"Poor",IF(tblProducts[[#This Row],[Rating]]&lt;=4.5,"Average","Excellent")))</f>
        <v>Missing</v>
      </c>
      <c r="I88" s="3" t="str">
        <f>IF(tblProducts[[#This Row],[Discount]]="","Missing",IF(tblProducts[[#This Row],[Discount]]&lt;=20%,"Low Discount",IF(tblProducts[[#This Row],[Discount]]&lt;=40%,"Medium Discount","High Discount")))</f>
        <v>Low Discount</v>
      </c>
      <c r="J88" s="3" t="str">
        <f>IF(tblProducts[[#This Row],[Current Price]]&lt;=Price_Q1,"Low Price",IF(tblProducts[[#This Row],[Current Price]]&lt;=Price_Q3,"Medium Price","High Price"))</f>
        <v>Medium Price</v>
      </c>
      <c r="K88" s="3" t="str">
        <f>IF(tblProducts[[#This Row],[Review]]="","Missing",IF(tblProducts[[#This Row],[Review]]&gt;=Review_P75,"High Engagement","Low Engagement"))</f>
        <v>Missing</v>
      </c>
      <c r="L8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8" s="3" t="str">
        <f>IF(AND(tblProducts[[#This Row],[Rating Category]]="Excellent",tblProducts[[#This Row],[Engagement Flag]]="High Engagement"),"Yes","No")</f>
        <v>No</v>
      </c>
      <c r="N88" s="3" t="str">
        <f>IF(AND(tblProducts[[#This Row],[Discount Category]]="High Discount",tblProducts[[#This Row],[Rating Category]]="Poor"),"Yes","No")</f>
        <v>No</v>
      </c>
      <c r="O88" s="3" t="str">
        <f>IF(AND(tblProducts[[#This Row],[Discount Category]]="High Discount",tblProducts[[#This Row],[Rating Category]]="Excellent"),"Yes","No")</f>
        <v>No</v>
      </c>
      <c r="P88" s="3" t="str">
        <f>IF(AND(tblProducts[[#This Row],[Rating Category]]="Poor",tblProducts[[#This Row],[Engagement Flag]]="Low Engagement"),"Yes","No")</f>
        <v>No</v>
      </c>
      <c r="Q88" t="s">
        <v>334</v>
      </c>
    </row>
    <row r="89" spans="1:17" x14ac:dyDescent="0.35">
      <c r="A89" t="s">
        <v>176</v>
      </c>
      <c r="B89" s="3">
        <v>657</v>
      </c>
      <c r="C89" s="3">
        <v>1288</v>
      </c>
      <c r="D89" s="4">
        <v>0.49</v>
      </c>
      <c r="E89" s="5"/>
      <c r="F89" s="6"/>
      <c r="G89" s="3">
        <f>tblProducts[[#This Row],[Old Price]]-tblProducts[[#This Row],[Current Price]]</f>
        <v>631</v>
      </c>
      <c r="H89" s="3" t="str">
        <f>IF(tblProducts[[#This Row],[Rating]]="","Missing",IF(tblProducts[[#This Row],[Rating]]&lt;3,"Poor",IF(tblProducts[[#This Row],[Rating]]&lt;=4.5,"Average","Excellent")))</f>
        <v>Missing</v>
      </c>
      <c r="I89" s="3" t="str">
        <f>IF(tblProducts[[#This Row],[Discount]]="","Missing",IF(tblProducts[[#This Row],[Discount]]&lt;=20%,"Low Discount",IF(tblProducts[[#This Row],[Discount]]&lt;=40%,"Medium Discount","High Discount")))</f>
        <v>High Discount</v>
      </c>
      <c r="J89" s="3" t="str">
        <f>IF(tblProducts[[#This Row],[Current Price]]&lt;=Price_Q1,"Low Price",IF(tblProducts[[#This Row],[Current Price]]&lt;=Price_Q3,"Medium Price","High Price"))</f>
        <v>Medium Price</v>
      </c>
      <c r="K89" s="3" t="str">
        <f>IF(tblProducts[[#This Row],[Review]]="","Missing",IF(tblProducts[[#This Row],[Review]]&gt;=Review_P75,"High Engagement","Low Engagement"))</f>
        <v>Missing</v>
      </c>
      <c r="L8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89" s="3" t="str">
        <f>IF(AND(tblProducts[[#This Row],[Rating Category]]="Excellent",tblProducts[[#This Row],[Engagement Flag]]="High Engagement"),"Yes","No")</f>
        <v>No</v>
      </c>
      <c r="N89" s="3" t="str">
        <f>IF(AND(tblProducts[[#This Row],[Discount Category]]="High Discount",tblProducts[[#This Row],[Rating Category]]="Poor"),"Yes","No")</f>
        <v>No</v>
      </c>
      <c r="O89" s="3" t="str">
        <f>IF(AND(tblProducts[[#This Row],[Discount Category]]="High Discount",tblProducts[[#This Row],[Rating Category]]="Excellent"),"Yes","No")</f>
        <v>No</v>
      </c>
      <c r="P89" s="3" t="str">
        <f>IF(AND(tblProducts[[#This Row],[Rating Category]]="Poor",tblProducts[[#This Row],[Engagement Flag]]="Low Engagement"),"Yes","No")</f>
        <v>No</v>
      </c>
      <c r="Q89" t="s">
        <v>334</v>
      </c>
    </row>
    <row r="90" spans="1:17" x14ac:dyDescent="0.35">
      <c r="A90" t="s">
        <v>265</v>
      </c>
      <c r="B90" s="3">
        <v>1468</v>
      </c>
      <c r="C90" s="3">
        <v>1699</v>
      </c>
      <c r="D90" s="4">
        <v>0.14000000000000001</v>
      </c>
      <c r="E90" s="5"/>
      <c r="F90" s="6"/>
      <c r="G90" s="3">
        <f>tblProducts[[#This Row],[Old Price]]-tblProducts[[#This Row],[Current Price]]</f>
        <v>231</v>
      </c>
      <c r="H90" s="3" t="str">
        <f>IF(tblProducts[[#This Row],[Rating]]="","Missing",IF(tblProducts[[#This Row],[Rating]]&lt;3,"Poor",IF(tblProducts[[#This Row],[Rating]]&lt;=4.5,"Average","Excellent")))</f>
        <v>Missing</v>
      </c>
      <c r="I90" s="3" t="str">
        <f>IF(tblProducts[[#This Row],[Discount]]="","Missing",IF(tblProducts[[#This Row],[Discount]]&lt;=20%,"Low Discount",IF(tblProducts[[#This Row],[Discount]]&lt;=40%,"Medium Discount","High Discount")))</f>
        <v>Low Discount</v>
      </c>
      <c r="J90" s="3" t="str">
        <f>IF(tblProducts[[#This Row],[Current Price]]&lt;=Price_Q1,"Low Price",IF(tblProducts[[#This Row],[Current Price]]&lt;=Price_Q3,"Medium Price","High Price"))</f>
        <v>Medium Price</v>
      </c>
      <c r="K90" s="3" t="str">
        <f>IF(tblProducts[[#This Row],[Review]]="","Missing",IF(tblProducts[[#This Row],[Review]]&gt;=Review_P75,"High Engagement","Low Engagement"))</f>
        <v>Missing</v>
      </c>
      <c r="L9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0" s="3" t="str">
        <f>IF(AND(tblProducts[[#This Row],[Rating Category]]="Excellent",tblProducts[[#This Row],[Engagement Flag]]="High Engagement"),"Yes","No")</f>
        <v>No</v>
      </c>
      <c r="N90" s="3" t="str">
        <f>IF(AND(tblProducts[[#This Row],[Discount Category]]="High Discount",tblProducts[[#This Row],[Rating Category]]="Poor"),"Yes","No")</f>
        <v>No</v>
      </c>
      <c r="O90" s="3" t="str">
        <f>IF(AND(tblProducts[[#This Row],[Discount Category]]="High Discount",tblProducts[[#This Row],[Rating Category]]="Excellent"),"Yes","No")</f>
        <v>No</v>
      </c>
      <c r="P90" s="3" t="str">
        <f>IF(AND(tblProducts[[#This Row],[Rating Category]]="Poor",tblProducts[[#This Row],[Engagement Flag]]="Low Engagement"),"Yes","No")</f>
        <v>No</v>
      </c>
      <c r="Q90" t="s">
        <v>334</v>
      </c>
    </row>
    <row r="91" spans="1:17" x14ac:dyDescent="0.35">
      <c r="A91" t="s">
        <v>267</v>
      </c>
      <c r="B91" s="3">
        <v>630</v>
      </c>
      <c r="C91" s="3">
        <v>1100</v>
      </c>
      <c r="D91" s="4">
        <v>0.43</v>
      </c>
      <c r="E91" s="5"/>
      <c r="F91" s="6"/>
      <c r="G91" s="3">
        <f>tblProducts[[#This Row],[Old Price]]-tblProducts[[#This Row],[Current Price]]</f>
        <v>470</v>
      </c>
      <c r="H91" s="3" t="str">
        <f>IF(tblProducts[[#This Row],[Rating]]="","Missing",IF(tblProducts[[#This Row],[Rating]]&lt;3,"Poor",IF(tblProducts[[#This Row],[Rating]]&lt;=4.5,"Average","Excellent")))</f>
        <v>Missing</v>
      </c>
      <c r="I91" s="3" t="str">
        <f>IF(tblProducts[[#This Row],[Discount]]="","Missing",IF(tblProducts[[#This Row],[Discount]]&lt;=20%,"Low Discount",IF(tblProducts[[#This Row],[Discount]]&lt;=40%,"Medium Discount","High Discount")))</f>
        <v>High Discount</v>
      </c>
      <c r="J91" s="3" t="str">
        <f>IF(tblProducts[[#This Row],[Current Price]]&lt;=Price_Q1,"Low Price",IF(tblProducts[[#This Row],[Current Price]]&lt;=Price_Q3,"Medium Price","High Price"))</f>
        <v>Medium Price</v>
      </c>
      <c r="K91" s="3" t="str">
        <f>IF(tblProducts[[#This Row],[Review]]="","Missing",IF(tblProducts[[#This Row],[Review]]&gt;=Review_P75,"High Engagement","Low Engagement"))</f>
        <v>Missing</v>
      </c>
      <c r="L9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1" s="3" t="str">
        <f>IF(AND(tblProducts[[#This Row],[Rating Category]]="Excellent",tblProducts[[#This Row],[Engagement Flag]]="High Engagement"),"Yes","No")</f>
        <v>No</v>
      </c>
      <c r="N91" s="3" t="str">
        <f>IF(AND(tblProducts[[#This Row],[Discount Category]]="High Discount",tblProducts[[#This Row],[Rating Category]]="Poor"),"Yes","No")</f>
        <v>No</v>
      </c>
      <c r="O91" s="3" t="str">
        <f>IF(AND(tblProducts[[#This Row],[Discount Category]]="High Discount",tblProducts[[#This Row],[Rating Category]]="Excellent"),"Yes","No")</f>
        <v>No</v>
      </c>
      <c r="P91" s="3" t="str">
        <f>IF(AND(tblProducts[[#This Row],[Rating Category]]="Poor",tblProducts[[#This Row],[Engagement Flag]]="Low Engagement"),"Yes","No")</f>
        <v>No</v>
      </c>
      <c r="Q91" t="s">
        <v>334</v>
      </c>
    </row>
    <row r="92" spans="1:17" x14ac:dyDescent="0.35">
      <c r="A92" t="s">
        <v>270</v>
      </c>
      <c r="B92" s="3">
        <v>850</v>
      </c>
      <c r="C92" s="3">
        <v>1700</v>
      </c>
      <c r="D92" s="4">
        <v>0.5</v>
      </c>
      <c r="E92" s="5"/>
      <c r="F92" s="6"/>
      <c r="G92" s="3">
        <f>tblProducts[[#This Row],[Old Price]]-tblProducts[[#This Row],[Current Price]]</f>
        <v>850</v>
      </c>
      <c r="H92" s="3" t="str">
        <f>IF(tblProducts[[#This Row],[Rating]]="","Missing",IF(tblProducts[[#This Row],[Rating]]&lt;3,"Poor",IF(tblProducts[[#This Row],[Rating]]&lt;=4.5,"Average","Excellent")))</f>
        <v>Missing</v>
      </c>
      <c r="I92" s="3" t="str">
        <f>IF(tblProducts[[#This Row],[Discount]]="","Missing",IF(tblProducts[[#This Row],[Discount]]&lt;=20%,"Low Discount",IF(tblProducts[[#This Row],[Discount]]&lt;=40%,"Medium Discount","High Discount")))</f>
        <v>High Discount</v>
      </c>
      <c r="J92" s="3" t="str">
        <f>IF(tblProducts[[#This Row],[Current Price]]&lt;=Price_Q1,"Low Price",IF(tblProducts[[#This Row],[Current Price]]&lt;=Price_Q3,"Medium Price","High Price"))</f>
        <v>Medium Price</v>
      </c>
      <c r="K92" s="3" t="str">
        <f>IF(tblProducts[[#This Row],[Review]]="","Missing",IF(tblProducts[[#This Row],[Review]]&gt;=Review_P75,"High Engagement","Low Engagement"))</f>
        <v>Missing</v>
      </c>
      <c r="L9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2" s="3" t="str">
        <f>IF(AND(tblProducts[[#This Row],[Rating Category]]="Excellent",tblProducts[[#This Row],[Engagement Flag]]="High Engagement"),"Yes","No")</f>
        <v>No</v>
      </c>
      <c r="N92" s="3" t="str">
        <f>IF(AND(tblProducts[[#This Row],[Discount Category]]="High Discount",tblProducts[[#This Row],[Rating Category]]="Poor"),"Yes","No")</f>
        <v>No</v>
      </c>
      <c r="O92" s="3" t="str">
        <f>IF(AND(tblProducts[[#This Row],[Discount Category]]="High Discount",tblProducts[[#This Row],[Rating Category]]="Excellent"),"Yes","No")</f>
        <v>No</v>
      </c>
      <c r="P92" s="3" t="str">
        <f>IF(AND(tblProducts[[#This Row],[Rating Category]]="Poor",tblProducts[[#This Row],[Engagement Flag]]="Low Engagement"),"Yes","No")</f>
        <v>No</v>
      </c>
      <c r="Q92" t="s">
        <v>334</v>
      </c>
    </row>
    <row r="93" spans="1:17" x14ac:dyDescent="0.35">
      <c r="A93" t="s">
        <v>273</v>
      </c>
      <c r="B93" s="3">
        <v>1300</v>
      </c>
      <c r="C93" s="3">
        <v>2500</v>
      </c>
      <c r="D93" s="4">
        <v>0.48</v>
      </c>
      <c r="E93" s="5"/>
      <c r="F93" s="6"/>
      <c r="G93" s="3">
        <f>tblProducts[[#This Row],[Old Price]]-tblProducts[[#This Row],[Current Price]]</f>
        <v>1200</v>
      </c>
      <c r="H93" s="3" t="str">
        <f>IF(tblProducts[[#This Row],[Rating]]="","Missing",IF(tblProducts[[#This Row],[Rating]]&lt;3,"Poor",IF(tblProducts[[#This Row],[Rating]]&lt;=4.5,"Average","Excellent")))</f>
        <v>Missing</v>
      </c>
      <c r="I93" s="3" t="str">
        <f>IF(tblProducts[[#This Row],[Discount]]="","Missing",IF(tblProducts[[#This Row],[Discount]]&lt;=20%,"Low Discount",IF(tblProducts[[#This Row],[Discount]]&lt;=40%,"Medium Discount","High Discount")))</f>
        <v>High Discount</v>
      </c>
      <c r="J93" s="3" t="str">
        <f>IF(tblProducts[[#This Row],[Current Price]]&lt;=Price_Q1,"Low Price",IF(tblProducts[[#This Row],[Current Price]]&lt;=Price_Q3,"Medium Price","High Price"))</f>
        <v>Medium Price</v>
      </c>
      <c r="K93" s="3" t="str">
        <f>IF(tblProducts[[#This Row],[Review]]="","Missing",IF(tblProducts[[#This Row],[Review]]&gt;=Review_P75,"High Engagement","Low Engagement"))</f>
        <v>Missing</v>
      </c>
      <c r="L9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3" s="3" t="str">
        <f>IF(AND(tblProducts[[#This Row],[Rating Category]]="Excellent",tblProducts[[#This Row],[Engagement Flag]]="High Engagement"),"Yes","No")</f>
        <v>No</v>
      </c>
      <c r="N93" s="3" t="str">
        <f>IF(AND(tblProducts[[#This Row],[Discount Category]]="High Discount",tblProducts[[#This Row],[Rating Category]]="Poor"),"Yes","No")</f>
        <v>No</v>
      </c>
      <c r="O93" s="3" t="str">
        <f>IF(AND(tblProducts[[#This Row],[Discount Category]]="High Discount",tblProducts[[#This Row],[Rating Category]]="Excellent"),"Yes","No")</f>
        <v>No</v>
      </c>
      <c r="P93" s="3" t="str">
        <f>IF(AND(tblProducts[[#This Row],[Rating Category]]="Poor",tblProducts[[#This Row],[Engagement Flag]]="Low Engagement"),"Yes","No")</f>
        <v>No</v>
      </c>
      <c r="Q93" t="s">
        <v>334</v>
      </c>
    </row>
    <row r="94" spans="1:17" x14ac:dyDescent="0.35">
      <c r="A94" t="s">
        <v>275</v>
      </c>
      <c r="B94" s="3">
        <v>105</v>
      </c>
      <c r="C94" s="3">
        <v>200</v>
      </c>
      <c r="D94" s="4">
        <v>0.48</v>
      </c>
      <c r="E94" s="5"/>
      <c r="F94" s="6"/>
      <c r="G94" s="3">
        <f>tblProducts[[#This Row],[Old Price]]-tblProducts[[#This Row],[Current Price]]</f>
        <v>95</v>
      </c>
      <c r="H94" s="3" t="str">
        <f>IF(tblProducts[[#This Row],[Rating]]="","Missing",IF(tblProducts[[#This Row],[Rating]]&lt;3,"Poor",IF(tblProducts[[#This Row],[Rating]]&lt;=4.5,"Average","Excellent")))</f>
        <v>Missing</v>
      </c>
      <c r="I94" s="3" t="str">
        <f>IF(tblProducts[[#This Row],[Discount]]="","Missing",IF(tblProducts[[#This Row],[Discount]]&lt;=20%,"Low Discount",IF(tblProducts[[#This Row],[Discount]]&lt;=40%,"Medium Discount","High Discount")))</f>
        <v>High Discount</v>
      </c>
      <c r="J94" s="3" t="str">
        <f>IF(tblProducts[[#This Row],[Current Price]]&lt;=Price_Q1,"Low Price",IF(tblProducts[[#This Row],[Current Price]]&lt;=Price_Q3,"Medium Price","High Price"))</f>
        <v>Low Price</v>
      </c>
      <c r="K94" s="3" t="str">
        <f>IF(tblProducts[[#This Row],[Review]]="","Missing",IF(tblProducts[[#This Row],[Review]]&gt;=Review_P75,"High Engagement","Low Engagement"))</f>
        <v>Missing</v>
      </c>
      <c r="L9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4" s="3" t="str">
        <f>IF(AND(tblProducts[[#This Row],[Rating Category]]="Excellent",tblProducts[[#This Row],[Engagement Flag]]="High Engagement"),"Yes","No")</f>
        <v>No</v>
      </c>
      <c r="N94" s="3" t="str">
        <f>IF(AND(tblProducts[[#This Row],[Discount Category]]="High Discount",tblProducts[[#This Row],[Rating Category]]="Poor"),"Yes","No")</f>
        <v>No</v>
      </c>
      <c r="O94" s="3" t="str">
        <f>IF(AND(tblProducts[[#This Row],[Discount Category]]="High Discount",tblProducts[[#This Row],[Rating Category]]="Excellent"),"Yes","No")</f>
        <v>No</v>
      </c>
      <c r="P94" s="3" t="str">
        <f>IF(AND(tblProducts[[#This Row],[Rating Category]]="Poor",tblProducts[[#This Row],[Engagement Flag]]="Low Engagement"),"Yes","No")</f>
        <v>No</v>
      </c>
      <c r="Q94" t="s">
        <v>334</v>
      </c>
    </row>
    <row r="95" spans="1:17" x14ac:dyDescent="0.35">
      <c r="A95" t="s">
        <v>278</v>
      </c>
      <c r="B95" s="3">
        <v>899</v>
      </c>
      <c r="C95" s="3">
        <v>1699</v>
      </c>
      <c r="D95" s="4">
        <v>0.47</v>
      </c>
      <c r="E95" s="5"/>
      <c r="F95" s="6"/>
      <c r="G95" s="3">
        <f>tblProducts[[#This Row],[Old Price]]-tblProducts[[#This Row],[Current Price]]</f>
        <v>800</v>
      </c>
      <c r="H95" s="3" t="str">
        <f>IF(tblProducts[[#This Row],[Rating]]="","Missing",IF(tblProducts[[#This Row],[Rating]]&lt;3,"Poor",IF(tblProducts[[#This Row],[Rating]]&lt;=4.5,"Average","Excellent")))</f>
        <v>Missing</v>
      </c>
      <c r="I95" s="3" t="str">
        <f>IF(tblProducts[[#This Row],[Discount]]="","Missing",IF(tblProducts[[#This Row],[Discount]]&lt;=20%,"Low Discount",IF(tblProducts[[#This Row],[Discount]]&lt;=40%,"Medium Discount","High Discount")))</f>
        <v>High Discount</v>
      </c>
      <c r="J95" s="3" t="str">
        <f>IF(tblProducts[[#This Row],[Current Price]]&lt;=Price_Q1,"Low Price",IF(tblProducts[[#This Row],[Current Price]]&lt;=Price_Q3,"Medium Price","High Price"))</f>
        <v>Medium Price</v>
      </c>
      <c r="K95" s="3" t="str">
        <f>IF(tblProducts[[#This Row],[Review]]="","Missing",IF(tblProducts[[#This Row],[Review]]&gt;=Review_P75,"High Engagement","Low Engagement"))</f>
        <v>Missing</v>
      </c>
      <c r="L9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5" s="3" t="str">
        <f>IF(AND(tblProducts[[#This Row],[Rating Category]]="Excellent",tblProducts[[#This Row],[Engagement Flag]]="High Engagement"),"Yes","No")</f>
        <v>No</v>
      </c>
      <c r="N95" s="3" t="str">
        <f>IF(AND(tblProducts[[#This Row],[Discount Category]]="High Discount",tblProducts[[#This Row],[Rating Category]]="Poor"),"Yes","No")</f>
        <v>No</v>
      </c>
      <c r="O95" s="3" t="str">
        <f>IF(AND(tblProducts[[#This Row],[Discount Category]]="High Discount",tblProducts[[#This Row],[Rating Category]]="Excellent"),"Yes","No")</f>
        <v>No</v>
      </c>
      <c r="P95" s="3" t="str">
        <f>IF(AND(tblProducts[[#This Row],[Rating Category]]="Poor",tblProducts[[#This Row],[Engagement Flag]]="Low Engagement"),"Yes","No")</f>
        <v>No</v>
      </c>
      <c r="Q95" t="s">
        <v>334</v>
      </c>
    </row>
    <row r="96" spans="1:17" x14ac:dyDescent="0.35">
      <c r="A96" t="s">
        <v>279</v>
      </c>
      <c r="B96" s="3">
        <v>1200</v>
      </c>
      <c r="C96" s="3">
        <v>2400</v>
      </c>
      <c r="D96" s="4">
        <v>0.5</v>
      </c>
      <c r="E96" s="5"/>
      <c r="F96" s="6"/>
      <c r="G96" s="3">
        <f>tblProducts[[#This Row],[Old Price]]-tblProducts[[#This Row],[Current Price]]</f>
        <v>1200</v>
      </c>
      <c r="H96" s="3" t="str">
        <f>IF(tblProducts[[#This Row],[Rating]]="","Missing",IF(tblProducts[[#This Row],[Rating]]&lt;3,"Poor",IF(tblProducts[[#This Row],[Rating]]&lt;=4.5,"Average","Excellent")))</f>
        <v>Missing</v>
      </c>
      <c r="I96" s="3" t="str">
        <f>IF(tblProducts[[#This Row],[Discount]]="","Missing",IF(tblProducts[[#This Row],[Discount]]&lt;=20%,"Low Discount",IF(tblProducts[[#This Row],[Discount]]&lt;=40%,"Medium Discount","High Discount")))</f>
        <v>High Discount</v>
      </c>
      <c r="J96" s="3" t="str">
        <f>IF(tblProducts[[#This Row],[Current Price]]&lt;=Price_Q1,"Low Price",IF(tblProducts[[#This Row],[Current Price]]&lt;=Price_Q3,"Medium Price","High Price"))</f>
        <v>Medium Price</v>
      </c>
      <c r="K96" s="3" t="str">
        <f>IF(tblProducts[[#This Row],[Review]]="","Missing",IF(tblProducts[[#This Row],[Review]]&gt;=Review_P75,"High Engagement","Low Engagement"))</f>
        <v>Missing</v>
      </c>
      <c r="L9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6" s="3" t="str">
        <f>IF(AND(tblProducts[[#This Row],[Rating Category]]="Excellent",tblProducts[[#This Row],[Engagement Flag]]="High Engagement"),"Yes","No")</f>
        <v>No</v>
      </c>
      <c r="N96" s="3" t="str">
        <f>IF(AND(tblProducts[[#This Row],[Discount Category]]="High Discount",tblProducts[[#This Row],[Rating Category]]="Poor"),"Yes","No")</f>
        <v>No</v>
      </c>
      <c r="O96" s="3" t="str">
        <f>IF(AND(tblProducts[[#This Row],[Discount Category]]="High Discount",tblProducts[[#This Row],[Rating Category]]="Excellent"),"Yes","No")</f>
        <v>No</v>
      </c>
      <c r="P96" s="3" t="str">
        <f>IF(AND(tblProducts[[#This Row],[Rating Category]]="Poor",tblProducts[[#This Row],[Engagement Flag]]="Low Engagement"),"Yes","No")</f>
        <v>No</v>
      </c>
      <c r="Q96" t="s">
        <v>334</v>
      </c>
    </row>
    <row r="97" spans="1:17" x14ac:dyDescent="0.35">
      <c r="A97" t="s">
        <v>281</v>
      </c>
      <c r="B97" s="3">
        <v>1526</v>
      </c>
      <c r="C97" s="3">
        <v>1660</v>
      </c>
      <c r="D97" s="4">
        <v>0.08</v>
      </c>
      <c r="E97" s="5"/>
      <c r="F97" s="6"/>
      <c r="G97" s="3">
        <f>tblProducts[[#This Row],[Old Price]]-tblProducts[[#This Row],[Current Price]]</f>
        <v>134</v>
      </c>
      <c r="H97" s="3" t="str">
        <f>IF(tblProducts[[#This Row],[Rating]]="","Missing",IF(tblProducts[[#This Row],[Rating]]&lt;3,"Poor",IF(tblProducts[[#This Row],[Rating]]&lt;=4.5,"Average","Excellent")))</f>
        <v>Missing</v>
      </c>
      <c r="I97" s="3" t="str">
        <f>IF(tblProducts[[#This Row],[Discount]]="","Missing",IF(tblProducts[[#This Row],[Discount]]&lt;=20%,"Low Discount",IF(tblProducts[[#This Row],[Discount]]&lt;=40%,"Medium Discount","High Discount")))</f>
        <v>Low Discount</v>
      </c>
      <c r="J97" s="3" t="str">
        <f>IF(tblProducts[[#This Row],[Current Price]]&lt;=Price_Q1,"Low Price",IF(tblProducts[[#This Row],[Current Price]]&lt;=Price_Q3,"Medium Price","High Price"))</f>
        <v>Medium Price</v>
      </c>
      <c r="K97" s="3" t="str">
        <f>IF(tblProducts[[#This Row],[Review]]="","Missing",IF(tblProducts[[#This Row],[Review]]&gt;=Review_P75,"High Engagement","Low Engagement"))</f>
        <v>Missing</v>
      </c>
      <c r="L9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7" s="3" t="str">
        <f>IF(AND(tblProducts[[#This Row],[Rating Category]]="Excellent",tblProducts[[#This Row],[Engagement Flag]]="High Engagement"),"Yes","No")</f>
        <v>No</v>
      </c>
      <c r="N97" s="3" t="str">
        <f>IF(AND(tblProducts[[#This Row],[Discount Category]]="High Discount",tblProducts[[#This Row],[Rating Category]]="Poor"),"Yes","No")</f>
        <v>No</v>
      </c>
      <c r="O97" s="3" t="str">
        <f>IF(AND(tblProducts[[#This Row],[Discount Category]]="High Discount",tblProducts[[#This Row],[Rating Category]]="Excellent"),"Yes","No")</f>
        <v>No</v>
      </c>
      <c r="P97" s="3" t="str">
        <f>IF(AND(tblProducts[[#This Row],[Rating Category]]="Poor",tblProducts[[#This Row],[Engagement Flag]]="Low Engagement"),"Yes","No")</f>
        <v>No</v>
      </c>
      <c r="Q97" t="s">
        <v>334</v>
      </c>
    </row>
    <row r="98" spans="1:17" x14ac:dyDescent="0.35">
      <c r="A98" t="s">
        <v>283</v>
      </c>
      <c r="B98" s="3">
        <v>1462</v>
      </c>
      <c r="C98" s="3">
        <v>1499</v>
      </c>
      <c r="D98" s="4">
        <v>0.02</v>
      </c>
      <c r="E98" s="5"/>
      <c r="F98" s="6"/>
      <c r="G98" s="3">
        <f>tblProducts[[#This Row],[Old Price]]-tblProducts[[#This Row],[Current Price]]</f>
        <v>37</v>
      </c>
      <c r="H98" s="3" t="str">
        <f>IF(tblProducts[[#This Row],[Rating]]="","Missing",IF(tblProducts[[#This Row],[Rating]]&lt;3,"Poor",IF(tblProducts[[#This Row],[Rating]]&lt;=4.5,"Average","Excellent")))</f>
        <v>Missing</v>
      </c>
      <c r="I98" s="3" t="str">
        <f>IF(tblProducts[[#This Row],[Discount]]="","Missing",IF(tblProducts[[#This Row],[Discount]]&lt;=20%,"Low Discount",IF(tblProducts[[#This Row],[Discount]]&lt;=40%,"Medium Discount","High Discount")))</f>
        <v>Low Discount</v>
      </c>
      <c r="J98" s="3" t="str">
        <f>IF(tblProducts[[#This Row],[Current Price]]&lt;=Price_Q1,"Low Price",IF(tblProducts[[#This Row],[Current Price]]&lt;=Price_Q3,"Medium Price","High Price"))</f>
        <v>Medium Price</v>
      </c>
      <c r="K98" s="3" t="str">
        <f>IF(tblProducts[[#This Row],[Review]]="","Missing",IF(tblProducts[[#This Row],[Review]]&gt;=Review_P75,"High Engagement","Low Engagement"))</f>
        <v>Missing</v>
      </c>
      <c r="L9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8" s="3" t="str">
        <f>IF(AND(tblProducts[[#This Row],[Rating Category]]="Excellent",tblProducts[[#This Row],[Engagement Flag]]="High Engagement"),"Yes","No")</f>
        <v>No</v>
      </c>
      <c r="N98" s="3" t="str">
        <f>IF(AND(tblProducts[[#This Row],[Discount Category]]="High Discount",tblProducts[[#This Row],[Rating Category]]="Poor"),"Yes","No")</f>
        <v>No</v>
      </c>
      <c r="O98" s="3" t="str">
        <f>IF(AND(tblProducts[[#This Row],[Discount Category]]="High Discount",tblProducts[[#This Row],[Rating Category]]="Excellent"),"Yes","No")</f>
        <v>No</v>
      </c>
      <c r="P98" s="3" t="str">
        <f>IF(AND(tblProducts[[#This Row],[Rating Category]]="Poor",tblProducts[[#This Row],[Engagement Flag]]="Low Engagement"),"Yes","No")</f>
        <v>No</v>
      </c>
      <c r="Q98" t="s">
        <v>334</v>
      </c>
    </row>
    <row r="99" spans="1:17" x14ac:dyDescent="0.35">
      <c r="A99" t="s">
        <v>285</v>
      </c>
      <c r="B99" s="3">
        <v>248</v>
      </c>
      <c r="C99" s="3">
        <v>486</v>
      </c>
      <c r="D99" s="4">
        <v>0.49</v>
      </c>
      <c r="E99" s="5"/>
      <c r="F99" s="6"/>
      <c r="G99" s="3">
        <f>tblProducts[[#This Row],[Old Price]]-tblProducts[[#This Row],[Current Price]]</f>
        <v>238</v>
      </c>
      <c r="H99" s="3" t="str">
        <f>IF(tblProducts[[#This Row],[Rating]]="","Missing",IF(tblProducts[[#This Row],[Rating]]&lt;3,"Poor",IF(tblProducts[[#This Row],[Rating]]&lt;=4.5,"Average","Excellent")))</f>
        <v>Missing</v>
      </c>
      <c r="I99" s="3" t="str">
        <f>IF(tblProducts[[#This Row],[Discount]]="","Missing",IF(tblProducts[[#This Row],[Discount]]&lt;=20%,"Low Discount",IF(tblProducts[[#This Row],[Discount]]&lt;=40%,"Medium Discount","High Discount")))</f>
        <v>High Discount</v>
      </c>
      <c r="J99" s="3" t="str">
        <f>IF(tblProducts[[#This Row],[Current Price]]&lt;=Price_Q1,"Low Price",IF(tblProducts[[#This Row],[Current Price]]&lt;=Price_Q3,"Medium Price","High Price"))</f>
        <v>Low Price</v>
      </c>
      <c r="K99" s="3" t="str">
        <f>IF(tblProducts[[#This Row],[Review]]="","Missing",IF(tblProducts[[#This Row],[Review]]&gt;=Review_P75,"High Engagement","Low Engagement"))</f>
        <v>Missing</v>
      </c>
      <c r="L9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99" s="3" t="str">
        <f>IF(AND(tblProducts[[#This Row],[Rating Category]]="Excellent",tblProducts[[#This Row],[Engagement Flag]]="High Engagement"),"Yes","No")</f>
        <v>No</v>
      </c>
      <c r="N99" s="3" t="str">
        <f>IF(AND(tblProducts[[#This Row],[Discount Category]]="High Discount",tblProducts[[#This Row],[Rating Category]]="Poor"),"Yes","No")</f>
        <v>No</v>
      </c>
      <c r="O99" s="3" t="str">
        <f>IF(AND(tblProducts[[#This Row],[Discount Category]]="High Discount",tblProducts[[#This Row],[Rating Category]]="Excellent"),"Yes","No")</f>
        <v>No</v>
      </c>
      <c r="P99" s="3" t="str">
        <f>IF(AND(tblProducts[[#This Row],[Rating Category]]="Poor",tblProducts[[#This Row],[Engagement Flag]]="Low Engagement"),"Yes","No")</f>
        <v>No</v>
      </c>
      <c r="Q99" t="s">
        <v>334</v>
      </c>
    </row>
    <row r="100" spans="1:17" x14ac:dyDescent="0.35">
      <c r="A100" t="s">
        <v>288</v>
      </c>
      <c r="B100" s="3">
        <v>3546</v>
      </c>
      <c r="C100" s="3">
        <v>3699</v>
      </c>
      <c r="D100" s="4">
        <v>0.04</v>
      </c>
      <c r="E100" s="5"/>
      <c r="F100" s="6"/>
      <c r="G100" s="3">
        <f>tblProducts[[#This Row],[Old Price]]-tblProducts[[#This Row],[Current Price]]</f>
        <v>153</v>
      </c>
      <c r="H100" s="3" t="str">
        <f>IF(tblProducts[[#This Row],[Rating]]="","Missing",IF(tblProducts[[#This Row],[Rating]]&lt;3,"Poor",IF(tblProducts[[#This Row],[Rating]]&lt;=4.5,"Average","Excellent")))</f>
        <v>Missing</v>
      </c>
      <c r="I100" s="3" t="str">
        <f>IF(tblProducts[[#This Row],[Discount]]="","Missing",IF(tblProducts[[#This Row],[Discount]]&lt;=20%,"Low Discount",IF(tblProducts[[#This Row],[Discount]]&lt;=40%,"Medium Discount","High Discount")))</f>
        <v>Low Discount</v>
      </c>
      <c r="J100" s="3" t="str">
        <f>IF(tblProducts[[#This Row],[Current Price]]&lt;=Price_Q1,"Low Price",IF(tblProducts[[#This Row],[Current Price]]&lt;=Price_Q3,"Medium Price","High Price"))</f>
        <v>High Price</v>
      </c>
      <c r="K100" s="3" t="str">
        <f>IF(tblProducts[[#This Row],[Review]]="","Missing",IF(tblProducts[[#This Row],[Review]]&gt;=Review_P75,"High Engagement","Low Engagement"))</f>
        <v>Missing</v>
      </c>
      <c r="L10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0" s="3" t="str">
        <f>IF(AND(tblProducts[[#This Row],[Rating Category]]="Excellent",tblProducts[[#This Row],[Engagement Flag]]="High Engagement"),"Yes","No")</f>
        <v>No</v>
      </c>
      <c r="N100" s="3" t="str">
        <f>IF(AND(tblProducts[[#This Row],[Discount Category]]="High Discount",tblProducts[[#This Row],[Rating Category]]="Poor"),"Yes","No")</f>
        <v>No</v>
      </c>
      <c r="O100" s="3" t="str">
        <f>IF(AND(tblProducts[[#This Row],[Discount Category]]="High Discount",tblProducts[[#This Row],[Rating Category]]="Excellent"),"Yes","No")</f>
        <v>No</v>
      </c>
      <c r="P100" s="3" t="str">
        <f>IF(AND(tblProducts[[#This Row],[Rating Category]]="Poor",tblProducts[[#This Row],[Engagement Flag]]="Low Engagement"),"Yes","No")</f>
        <v>No</v>
      </c>
      <c r="Q100" t="s">
        <v>334</v>
      </c>
    </row>
    <row r="101" spans="1:17" x14ac:dyDescent="0.35">
      <c r="A101" t="s">
        <v>290</v>
      </c>
      <c r="B101" s="3">
        <v>525</v>
      </c>
      <c r="C101" s="3">
        <v>1029</v>
      </c>
      <c r="D101" s="4">
        <v>0.49</v>
      </c>
      <c r="E101" s="5"/>
      <c r="F101" s="6"/>
      <c r="G101" s="3">
        <f>tblProducts[[#This Row],[Old Price]]-tblProducts[[#This Row],[Current Price]]</f>
        <v>504</v>
      </c>
      <c r="H101" s="3" t="str">
        <f>IF(tblProducts[[#This Row],[Rating]]="","Missing",IF(tblProducts[[#This Row],[Rating]]&lt;3,"Poor",IF(tblProducts[[#This Row],[Rating]]&lt;=4.5,"Average","Excellent")))</f>
        <v>Missing</v>
      </c>
      <c r="I101" s="3" t="str">
        <f>IF(tblProducts[[#This Row],[Discount]]="","Missing",IF(tblProducts[[#This Row],[Discount]]&lt;=20%,"Low Discount",IF(tblProducts[[#This Row],[Discount]]&lt;=40%,"Medium Discount","High Discount")))</f>
        <v>High Discount</v>
      </c>
      <c r="J101" s="3" t="str">
        <f>IF(tblProducts[[#This Row],[Current Price]]&lt;=Price_Q1,"Low Price",IF(tblProducts[[#This Row],[Current Price]]&lt;=Price_Q3,"Medium Price","High Price"))</f>
        <v>Medium Price</v>
      </c>
      <c r="K101" s="3" t="str">
        <f>IF(tblProducts[[#This Row],[Review]]="","Missing",IF(tblProducts[[#This Row],[Review]]&gt;=Review_P75,"High Engagement","Low Engagement"))</f>
        <v>Missing</v>
      </c>
      <c r="L10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1" s="3" t="str">
        <f>IF(AND(tblProducts[[#This Row],[Rating Category]]="Excellent",tblProducts[[#This Row],[Engagement Flag]]="High Engagement"),"Yes","No")</f>
        <v>No</v>
      </c>
      <c r="N101" s="3" t="str">
        <f>IF(AND(tblProducts[[#This Row],[Discount Category]]="High Discount",tblProducts[[#This Row],[Rating Category]]="Poor"),"Yes","No")</f>
        <v>No</v>
      </c>
      <c r="O101" s="3" t="str">
        <f>IF(AND(tblProducts[[#This Row],[Discount Category]]="High Discount",tblProducts[[#This Row],[Rating Category]]="Excellent"),"Yes","No")</f>
        <v>No</v>
      </c>
      <c r="P101" s="3" t="str">
        <f>IF(AND(tblProducts[[#This Row],[Rating Category]]="Poor",tblProducts[[#This Row],[Engagement Flag]]="Low Engagement"),"Yes","No")</f>
        <v>No</v>
      </c>
      <c r="Q101" t="s">
        <v>334</v>
      </c>
    </row>
    <row r="102" spans="1:17" x14ac:dyDescent="0.35">
      <c r="A102" t="s">
        <v>293</v>
      </c>
      <c r="B102" s="3">
        <v>1080</v>
      </c>
      <c r="C102" s="3">
        <v>1874</v>
      </c>
      <c r="D102" s="4">
        <v>0.42</v>
      </c>
      <c r="E102" s="5"/>
      <c r="F102" s="6"/>
      <c r="G102" s="3">
        <f>tblProducts[[#This Row],[Old Price]]-tblProducts[[#This Row],[Current Price]]</f>
        <v>794</v>
      </c>
      <c r="H102" s="3" t="str">
        <f>IF(tblProducts[[#This Row],[Rating]]="","Missing",IF(tblProducts[[#This Row],[Rating]]&lt;3,"Poor",IF(tblProducts[[#This Row],[Rating]]&lt;=4.5,"Average","Excellent")))</f>
        <v>Missing</v>
      </c>
      <c r="I102" s="3" t="str">
        <f>IF(tblProducts[[#This Row],[Discount]]="","Missing",IF(tblProducts[[#This Row],[Discount]]&lt;=20%,"Low Discount",IF(tblProducts[[#This Row],[Discount]]&lt;=40%,"Medium Discount","High Discount")))</f>
        <v>High Discount</v>
      </c>
      <c r="J102" s="3" t="str">
        <f>IF(tblProducts[[#This Row],[Current Price]]&lt;=Price_Q1,"Low Price",IF(tblProducts[[#This Row],[Current Price]]&lt;=Price_Q3,"Medium Price","High Price"))</f>
        <v>Medium Price</v>
      </c>
      <c r="K102" s="3" t="str">
        <f>IF(tblProducts[[#This Row],[Review]]="","Missing",IF(tblProducts[[#This Row],[Review]]&gt;=Review_P75,"High Engagement","Low Engagement"))</f>
        <v>Missing</v>
      </c>
      <c r="L10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2" s="3" t="str">
        <f>IF(AND(tblProducts[[#This Row],[Rating Category]]="Excellent",tblProducts[[#This Row],[Engagement Flag]]="High Engagement"),"Yes","No")</f>
        <v>No</v>
      </c>
      <c r="N102" s="3" t="str">
        <f>IF(AND(tblProducts[[#This Row],[Discount Category]]="High Discount",tblProducts[[#This Row],[Rating Category]]="Poor"),"Yes","No")</f>
        <v>No</v>
      </c>
      <c r="O102" s="3" t="str">
        <f>IF(AND(tblProducts[[#This Row],[Discount Category]]="High Discount",tblProducts[[#This Row],[Rating Category]]="Excellent"),"Yes","No")</f>
        <v>No</v>
      </c>
      <c r="P102" s="3" t="str">
        <f>IF(AND(tblProducts[[#This Row],[Rating Category]]="Poor",tblProducts[[#This Row],[Engagement Flag]]="Low Engagement"),"Yes","No")</f>
        <v>No</v>
      </c>
      <c r="Q102" t="s">
        <v>334</v>
      </c>
    </row>
    <row r="103" spans="1:17" x14ac:dyDescent="0.35">
      <c r="A103" t="s">
        <v>246</v>
      </c>
      <c r="B103" s="3">
        <v>979</v>
      </c>
      <c r="C103" s="3">
        <v>1920</v>
      </c>
      <c r="D103" s="4">
        <v>0.49</v>
      </c>
      <c r="E103" s="5">
        <v>1</v>
      </c>
      <c r="F103" s="6">
        <v>5</v>
      </c>
      <c r="G103" s="3">
        <f>tblProducts[[#This Row],[Old Price]]-tblProducts[[#This Row],[Current Price]]</f>
        <v>941</v>
      </c>
      <c r="H103" s="3" t="str">
        <f>IF(tblProducts[[#This Row],[Rating]]="","Missing",IF(tblProducts[[#This Row],[Rating]]&lt;3,"Poor",IF(tblProducts[[#This Row],[Rating]]&lt;=4.5,"Average","Excellent")))</f>
        <v>Excellent</v>
      </c>
      <c r="I103" s="3" t="str">
        <f>IF(tblProducts[[#This Row],[Discount]]="","Missing",IF(tblProducts[[#This Row],[Discount]]&lt;=20%,"Low Discount",IF(tblProducts[[#This Row],[Discount]]&lt;=40%,"Medium Discount","High Discount")))</f>
        <v>High Discount</v>
      </c>
      <c r="J103" s="3" t="str">
        <f>IF(tblProducts[[#This Row],[Current Price]]&lt;=Price_Q1,"Low Price",IF(tblProducts[[#This Row],[Current Price]]&lt;=Price_Q3,"Medium Price","High Price"))</f>
        <v>Medium Price</v>
      </c>
      <c r="K103" s="3" t="str">
        <f>IF(tblProducts[[#This Row],[Review]]="","Missing",IF(tblProducts[[#This Row],[Review]]&gt;=Review_P75,"High Engagement","Low Engagement"))</f>
        <v>Low Engagement</v>
      </c>
      <c r="L10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High Discount + High Rating</v>
      </c>
      <c r="M103" s="3" t="str">
        <f>IF(AND(tblProducts[[#This Row],[Rating Category]]="Excellent",tblProducts[[#This Row],[Engagement Flag]]="High Engagement"),"Yes","No")</f>
        <v>No</v>
      </c>
      <c r="N103" s="3" t="str">
        <f>IF(AND(tblProducts[[#This Row],[Discount Category]]="High Discount",tblProducts[[#This Row],[Rating Category]]="Poor"),"Yes","No")</f>
        <v>No</v>
      </c>
      <c r="O103" s="3" t="str">
        <f>IF(AND(tblProducts[[#This Row],[Discount Category]]="High Discount",tblProducts[[#This Row],[Rating Category]]="Excellent"),"Yes","No")</f>
        <v>Yes</v>
      </c>
      <c r="P103" s="3" t="str">
        <f>IF(AND(tblProducts[[#This Row],[Rating Category]]="Poor",tblProducts[[#This Row],[Engagement Flag]]="Low Engagement"),"Yes","No")</f>
        <v>No</v>
      </c>
      <c r="Q103" t="s">
        <v>335</v>
      </c>
    </row>
    <row r="104" spans="1:17" x14ac:dyDescent="0.35">
      <c r="A104" t="s">
        <v>299</v>
      </c>
      <c r="B104" s="3">
        <v>1420</v>
      </c>
      <c r="C104" s="3">
        <v>2420</v>
      </c>
      <c r="D104" s="4">
        <v>0.41</v>
      </c>
      <c r="E104" s="5"/>
      <c r="F104" s="6"/>
      <c r="G104" s="3">
        <f>tblProducts[[#This Row],[Old Price]]-tblProducts[[#This Row],[Current Price]]</f>
        <v>1000</v>
      </c>
      <c r="H104" s="3" t="str">
        <f>IF(tblProducts[[#This Row],[Rating]]="","Missing",IF(tblProducts[[#This Row],[Rating]]&lt;3,"Poor",IF(tblProducts[[#This Row],[Rating]]&lt;=4.5,"Average","Excellent")))</f>
        <v>Missing</v>
      </c>
      <c r="I104" s="3" t="str">
        <f>IF(tblProducts[[#This Row],[Discount]]="","Missing",IF(tblProducts[[#This Row],[Discount]]&lt;=20%,"Low Discount",IF(tblProducts[[#This Row],[Discount]]&lt;=40%,"Medium Discount","High Discount")))</f>
        <v>High Discount</v>
      </c>
      <c r="J104" s="3" t="str">
        <f>IF(tblProducts[[#This Row],[Current Price]]&lt;=Price_Q1,"Low Price",IF(tblProducts[[#This Row],[Current Price]]&lt;=Price_Q3,"Medium Price","High Price"))</f>
        <v>Medium Price</v>
      </c>
      <c r="K104" s="3" t="str">
        <f>IF(tblProducts[[#This Row],[Review]]="","Missing",IF(tblProducts[[#This Row],[Review]]&gt;=Review_P75,"High Engagement","Low Engagement"))</f>
        <v>Missing</v>
      </c>
      <c r="L104"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4" s="3" t="str">
        <f>IF(AND(tblProducts[[#This Row],[Rating Category]]="Excellent",tblProducts[[#This Row],[Engagement Flag]]="High Engagement"),"Yes","No")</f>
        <v>No</v>
      </c>
      <c r="N104" s="3" t="str">
        <f>IF(AND(tblProducts[[#This Row],[Discount Category]]="High Discount",tblProducts[[#This Row],[Rating Category]]="Poor"),"Yes","No")</f>
        <v>No</v>
      </c>
      <c r="O104" s="3" t="str">
        <f>IF(AND(tblProducts[[#This Row],[Discount Category]]="High Discount",tblProducts[[#This Row],[Rating Category]]="Excellent"),"Yes","No")</f>
        <v>No</v>
      </c>
      <c r="P104" s="3" t="str">
        <f>IF(AND(tblProducts[[#This Row],[Rating Category]]="Poor",tblProducts[[#This Row],[Engagement Flag]]="Low Engagement"),"Yes","No")</f>
        <v>No</v>
      </c>
      <c r="Q104" t="s">
        <v>334</v>
      </c>
    </row>
    <row r="105" spans="1:17" x14ac:dyDescent="0.35">
      <c r="A105" t="s">
        <v>302</v>
      </c>
      <c r="B105" s="3">
        <v>1875</v>
      </c>
      <c r="C105" s="3">
        <v>1899</v>
      </c>
      <c r="D105" s="4">
        <v>0.01</v>
      </c>
      <c r="E105" s="5"/>
      <c r="F105" s="6"/>
      <c r="G105" s="3">
        <f>tblProducts[[#This Row],[Old Price]]-tblProducts[[#This Row],[Current Price]]</f>
        <v>24</v>
      </c>
      <c r="H105" s="3" t="str">
        <f>IF(tblProducts[[#This Row],[Rating]]="","Missing",IF(tblProducts[[#This Row],[Rating]]&lt;3,"Poor",IF(tblProducts[[#This Row],[Rating]]&lt;=4.5,"Average","Excellent")))</f>
        <v>Missing</v>
      </c>
      <c r="I105" s="3" t="str">
        <f>IF(tblProducts[[#This Row],[Discount]]="","Missing",IF(tblProducts[[#This Row],[Discount]]&lt;=20%,"Low Discount",IF(tblProducts[[#This Row],[Discount]]&lt;=40%,"Medium Discount","High Discount")))</f>
        <v>Low Discount</v>
      </c>
      <c r="J105" s="3" t="str">
        <f>IF(tblProducts[[#This Row],[Current Price]]&lt;=Price_Q1,"Low Price",IF(tblProducts[[#This Row],[Current Price]]&lt;=Price_Q3,"Medium Price","High Price"))</f>
        <v>High Price</v>
      </c>
      <c r="K105" s="3" t="str">
        <f>IF(tblProducts[[#This Row],[Review]]="","Missing",IF(tblProducts[[#This Row],[Review]]&gt;=Review_P75,"High Engagement","Low Engagement"))</f>
        <v>Missing</v>
      </c>
      <c r="L105"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5" s="3" t="str">
        <f>IF(AND(tblProducts[[#This Row],[Rating Category]]="Excellent",tblProducts[[#This Row],[Engagement Flag]]="High Engagement"),"Yes","No")</f>
        <v>No</v>
      </c>
      <c r="N105" s="3" t="str">
        <f>IF(AND(tblProducts[[#This Row],[Discount Category]]="High Discount",tblProducts[[#This Row],[Rating Category]]="Poor"),"Yes","No")</f>
        <v>No</v>
      </c>
      <c r="O105" s="3" t="str">
        <f>IF(AND(tblProducts[[#This Row],[Discount Category]]="High Discount",tblProducts[[#This Row],[Rating Category]]="Excellent"),"Yes","No")</f>
        <v>No</v>
      </c>
      <c r="P105" s="3" t="str">
        <f>IF(AND(tblProducts[[#This Row],[Rating Category]]="Poor",tblProducts[[#This Row],[Engagement Flag]]="Low Engagement"),"Yes","No")</f>
        <v>No</v>
      </c>
      <c r="Q105" t="s">
        <v>334</v>
      </c>
    </row>
    <row r="106" spans="1:17" x14ac:dyDescent="0.35">
      <c r="A106" t="s">
        <v>305</v>
      </c>
      <c r="B106" s="3">
        <v>198</v>
      </c>
      <c r="C106" s="3">
        <v>260</v>
      </c>
      <c r="D106" s="4">
        <v>0.24</v>
      </c>
      <c r="E106" s="5"/>
      <c r="F106" s="6"/>
      <c r="G106" s="3">
        <f>tblProducts[[#This Row],[Old Price]]-tblProducts[[#This Row],[Current Price]]</f>
        <v>62</v>
      </c>
      <c r="H106" s="3" t="str">
        <f>IF(tblProducts[[#This Row],[Rating]]="","Missing",IF(tblProducts[[#This Row],[Rating]]&lt;3,"Poor",IF(tblProducts[[#This Row],[Rating]]&lt;=4.5,"Average","Excellent")))</f>
        <v>Missing</v>
      </c>
      <c r="I106" s="3" t="str">
        <f>IF(tblProducts[[#This Row],[Discount]]="","Missing",IF(tblProducts[[#This Row],[Discount]]&lt;=20%,"Low Discount",IF(tblProducts[[#This Row],[Discount]]&lt;=40%,"Medium Discount","High Discount")))</f>
        <v>Medium Discount</v>
      </c>
      <c r="J106" s="3" t="str">
        <f>IF(tblProducts[[#This Row],[Current Price]]&lt;=Price_Q1,"Low Price",IF(tblProducts[[#This Row],[Current Price]]&lt;=Price_Q3,"Medium Price","High Price"))</f>
        <v>Low Price</v>
      </c>
      <c r="K106" s="3" t="str">
        <f>IF(tblProducts[[#This Row],[Review]]="","Missing",IF(tblProducts[[#This Row],[Review]]&gt;=Review_P75,"High Engagement","Low Engagement"))</f>
        <v>Missing</v>
      </c>
      <c r="L106"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6" s="3" t="str">
        <f>IF(AND(tblProducts[[#This Row],[Rating Category]]="Excellent",tblProducts[[#This Row],[Engagement Flag]]="High Engagement"),"Yes","No")</f>
        <v>No</v>
      </c>
      <c r="N106" s="3" t="str">
        <f>IF(AND(tblProducts[[#This Row],[Discount Category]]="High Discount",tblProducts[[#This Row],[Rating Category]]="Poor"),"Yes","No")</f>
        <v>No</v>
      </c>
      <c r="O106" s="3" t="str">
        <f>IF(AND(tblProducts[[#This Row],[Discount Category]]="High Discount",tblProducts[[#This Row],[Rating Category]]="Excellent"),"Yes","No")</f>
        <v>No</v>
      </c>
      <c r="P106" s="3" t="str">
        <f>IF(AND(tblProducts[[#This Row],[Rating Category]]="Poor",tblProducts[[#This Row],[Engagement Flag]]="Low Engagement"),"Yes","No")</f>
        <v>No</v>
      </c>
      <c r="Q106" t="s">
        <v>334</v>
      </c>
    </row>
    <row r="107" spans="1:17" x14ac:dyDescent="0.35">
      <c r="A107" t="s">
        <v>308</v>
      </c>
      <c r="B107" s="3">
        <v>1150</v>
      </c>
      <c r="C107" s="3">
        <v>1737</v>
      </c>
      <c r="D107" s="4">
        <v>0.34</v>
      </c>
      <c r="E107" s="5"/>
      <c r="F107" s="6"/>
      <c r="G107" s="3">
        <f>tblProducts[[#This Row],[Old Price]]-tblProducts[[#This Row],[Current Price]]</f>
        <v>587</v>
      </c>
      <c r="H107" s="3" t="str">
        <f>IF(tblProducts[[#This Row],[Rating]]="","Missing",IF(tblProducts[[#This Row],[Rating]]&lt;3,"Poor",IF(tblProducts[[#This Row],[Rating]]&lt;=4.5,"Average","Excellent")))</f>
        <v>Missing</v>
      </c>
      <c r="I107" s="3" t="str">
        <f>IF(tblProducts[[#This Row],[Discount]]="","Missing",IF(tblProducts[[#This Row],[Discount]]&lt;=20%,"Low Discount",IF(tblProducts[[#This Row],[Discount]]&lt;=40%,"Medium Discount","High Discount")))</f>
        <v>Medium Discount</v>
      </c>
      <c r="J107" s="3" t="str">
        <f>IF(tblProducts[[#This Row],[Current Price]]&lt;=Price_Q1,"Low Price",IF(tblProducts[[#This Row],[Current Price]]&lt;=Price_Q3,"Medium Price","High Price"))</f>
        <v>Medium Price</v>
      </c>
      <c r="K107" s="3" t="str">
        <f>IF(tblProducts[[#This Row],[Review]]="","Missing",IF(tblProducts[[#This Row],[Review]]&gt;=Review_P75,"High Engagement","Low Engagement"))</f>
        <v>Missing</v>
      </c>
      <c r="L107"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7" s="3" t="str">
        <f>IF(AND(tblProducts[[#This Row],[Rating Category]]="Excellent",tblProducts[[#This Row],[Engagement Flag]]="High Engagement"),"Yes","No")</f>
        <v>No</v>
      </c>
      <c r="N107" s="3" t="str">
        <f>IF(AND(tblProducts[[#This Row],[Discount Category]]="High Discount",tblProducts[[#This Row],[Rating Category]]="Poor"),"Yes","No")</f>
        <v>No</v>
      </c>
      <c r="O107" s="3" t="str">
        <f>IF(AND(tblProducts[[#This Row],[Discount Category]]="High Discount",tblProducts[[#This Row],[Rating Category]]="Excellent"),"Yes","No")</f>
        <v>No</v>
      </c>
      <c r="P107" s="3" t="str">
        <f>IF(AND(tblProducts[[#This Row],[Rating Category]]="Poor",tblProducts[[#This Row],[Engagement Flag]]="Low Engagement"),"Yes","No")</f>
        <v>No</v>
      </c>
      <c r="Q107" t="s">
        <v>334</v>
      </c>
    </row>
    <row r="108" spans="1:17" x14ac:dyDescent="0.35">
      <c r="A108" t="s">
        <v>311</v>
      </c>
      <c r="B108" s="3">
        <v>1190</v>
      </c>
      <c r="C108" s="3">
        <v>1810</v>
      </c>
      <c r="D108" s="4">
        <v>0.34</v>
      </c>
      <c r="E108" s="5"/>
      <c r="F108" s="6"/>
      <c r="G108" s="3">
        <f>tblProducts[[#This Row],[Old Price]]-tblProducts[[#This Row],[Current Price]]</f>
        <v>620</v>
      </c>
      <c r="H108" s="3" t="str">
        <f>IF(tblProducts[[#This Row],[Rating]]="","Missing",IF(tblProducts[[#This Row],[Rating]]&lt;3,"Poor",IF(tblProducts[[#This Row],[Rating]]&lt;=4.5,"Average","Excellent")))</f>
        <v>Missing</v>
      </c>
      <c r="I108" s="3" t="str">
        <f>IF(tblProducts[[#This Row],[Discount]]="","Missing",IF(tblProducts[[#This Row],[Discount]]&lt;=20%,"Low Discount",IF(tblProducts[[#This Row],[Discount]]&lt;=40%,"Medium Discount","High Discount")))</f>
        <v>Medium Discount</v>
      </c>
      <c r="J108" s="3" t="str">
        <f>IF(tblProducts[[#This Row],[Current Price]]&lt;=Price_Q1,"Low Price",IF(tblProducts[[#This Row],[Current Price]]&lt;=Price_Q3,"Medium Price","High Price"))</f>
        <v>Medium Price</v>
      </c>
      <c r="K108" s="3" t="str">
        <f>IF(tblProducts[[#This Row],[Review]]="","Missing",IF(tblProducts[[#This Row],[Review]]&gt;=Review_P75,"High Engagement","Low Engagement"))</f>
        <v>Missing</v>
      </c>
      <c r="L108"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8" s="3" t="str">
        <f>IF(AND(tblProducts[[#This Row],[Rating Category]]="Excellent",tblProducts[[#This Row],[Engagement Flag]]="High Engagement"),"Yes","No")</f>
        <v>No</v>
      </c>
      <c r="N108" s="3" t="str">
        <f>IF(AND(tblProducts[[#This Row],[Discount Category]]="High Discount",tblProducts[[#This Row],[Rating Category]]="Poor"),"Yes","No")</f>
        <v>No</v>
      </c>
      <c r="O108" s="3" t="str">
        <f>IF(AND(tblProducts[[#This Row],[Discount Category]]="High Discount",tblProducts[[#This Row],[Rating Category]]="Excellent"),"Yes","No")</f>
        <v>No</v>
      </c>
      <c r="P108" s="3" t="str">
        <f>IF(AND(tblProducts[[#This Row],[Rating Category]]="Poor",tblProducts[[#This Row],[Engagement Flag]]="Low Engagement"),"Yes","No")</f>
        <v>No</v>
      </c>
      <c r="Q108" t="s">
        <v>334</v>
      </c>
    </row>
    <row r="109" spans="1:17" x14ac:dyDescent="0.35">
      <c r="A109" t="s">
        <v>313</v>
      </c>
      <c r="B109" s="3">
        <v>1658</v>
      </c>
      <c r="C109" s="3">
        <v>1699</v>
      </c>
      <c r="D109" s="4">
        <v>0.02</v>
      </c>
      <c r="E109" s="5"/>
      <c r="F109" s="6"/>
      <c r="G109" s="3">
        <f>tblProducts[[#This Row],[Old Price]]-tblProducts[[#This Row],[Current Price]]</f>
        <v>41</v>
      </c>
      <c r="H109" s="3" t="str">
        <f>IF(tblProducts[[#This Row],[Rating]]="","Missing",IF(tblProducts[[#This Row],[Rating]]&lt;3,"Poor",IF(tblProducts[[#This Row],[Rating]]&lt;=4.5,"Average","Excellent")))</f>
        <v>Missing</v>
      </c>
      <c r="I109" s="3" t="str">
        <f>IF(tblProducts[[#This Row],[Discount]]="","Missing",IF(tblProducts[[#This Row],[Discount]]&lt;=20%,"Low Discount",IF(tblProducts[[#This Row],[Discount]]&lt;=40%,"Medium Discount","High Discount")))</f>
        <v>Low Discount</v>
      </c>
      <c r="J109" s="3" t="str">
        <f>IF(tblProducts[[#This Row],[Current Price]]&lt;=Price_Q1,"Low Price",IF(tblProducts[[#This Row],[Current Price]]&lt;=Price_Q3,"Medium Price","High Price"))</f>
        <v>Medium Price</v>
      </c>
      <c r="K109" s="3" t="str">
        <f>IF(tblProducts[[#This Row],[Review]]="","Missing",IF(tblProducts[[#This Row],[Review]]&gt;=Review_P75,"High Engagement","Low Engagement"))</f>
        <v>Missing</v>
      </c>
      <c r="L109"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09" s="3" t="str">
        <f>IF(AND(tblProducts[[#This Row],[Rating Category]]="Excellent",tblProducts[[#This Row],[Engagement Flag]]="High Engagement"),"Yes","No")</f>
        <v>No</v>
      </c>
      <c r="N109" s="3" t="str">
        <f>IF(AND(tblProducts[[#This Row],[Discount Category]]="High Discount",tblProducts[[#This Row],[Rating Category]]="Poor"),"Yes","No")</f>
        <v>No</v>
      </c>
      <c r="O109" s="3" t="str">
        <f>IF(AND(tblProducts[[#This Row],[Discount Category]]="High Discount",tblProducts[[#This Row],[Rating Category]]="Excellent"),"Yes","No")</f>
        <v>No</v>
      </c>
      <c r="P109" s="3" t="str">
        <f>IF(AND(tblProducts[[#This Row],[Rating Category]]="Poor",tblProducts[[#This Row],[Engagement Flag]]="Low Engagement"),"Yes","No")</f>
        <v>No</v>
      </c>
      <c r="Q109" t="s">
        <v>334</v>
      </c>
    </row>
    <row r="110" spans="1:17" x14ac:dyDescent="0.35">
      <c r="A110" t="s">
        <v>315</v>
      </c>
      <c r="B110" s="3">
        <v>1768</v>
      </c>
      <c r="C110" s="3">
        <v>1799</v>
      </c>
      <c r="D110" s="4">
        <v>0.02</v>
      </c>
      <c r="E110" s="5"/>
      <c r="F110" s="6"/>
      <c r="G110" s="3">
        <f>tblProducts[[#This Row],[Old Price]]-tblProducts[[#This Row],[Current Price]]</f>
        <v>31</v>
      </c>
      <c r="H110" s="3" t="str">
        <f>IF(tblProducts[[#This Row],[Rating]]="","Missing",IF(tblProducts[[#This Row],[Rating]]&lt;3,"Poor",IF(tblProducts[[#This Row],[Rating]]&lt;=4.5,"Average","Excellent")))</f>
        <v>Missing</v>
      </c>
      <c r="I110" s="3" t="str">
        <f>IF(tblProducts[[#This Row],[Discount]]="","Missing",IF(tblProducts[[#This Row],[Discount]]&lt;=20%,"Low Discount",IF(tblProducts[[#This Row],[Discount]]&lt;=40%,"Medium Discount","High Discount")))</f>
        <v>Low Discount</v>
      </c>
      <c r="J110" s="3" t="str">
        <f>IF(tblProducts[[#This Row],[Current Price]]&lt;=Price_Q1,"Low Price",IF(tblProducts[[#This Row],[Current Price]]&lt;=Price_Q3,"Medium Price","High Price"))</f>
        <v>High Price</v>
      </c>
      <c r="K110" s="3" t="str">
        <f>IF(tblProducts[[#This Row],[Review]]="","Missing",IF(tblProducts[[#This Row],[Review]]&gt;=Review_P75,"High Engagement","Low Engagement"))</f>
        <v>Missing</v>
      </c>
      <c r="L110"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10" s="3" t="str">
        <f>IF(AND(tblProducts[[#This Row],[Rating Category]]="Excellent",tblProducts[[#This Row],[Engagement Flag]]="High Engagement"),"Yes","No")</f>
        <v>No</v>
      </c>
      <c r="N110" s="3" t="str">
        <f>IF(AND(tblProducts[[#This Row],[Discount Category]]="High Discount",tblProducts[[#This Row],[Rating Category]]="Poor"),"Yes","No")</f>
        <v>No</v>
      </c>
      <c r="O110" s="3" t="str">
        <f>IF(AND(tblProducts[[#This Row],[Discount Category]]="High Discount",tblProducts[[#This Row],[Rating Category]]="Excellent"),"Yes","No")</f>
        <v>No</v>
      </c>
      <c r="P110" s="3" t="str">
        <f>IF(AND(tblProducts[[#This Row],[Rating Category]]="Poor",tblProducts[[#This Row],[Engagement Flag]]="Low Engagement"),"Yes","No")</f>
        <v>No</v>
      </c>
      <c r="Q110" t="s">
        <v>334</v>
      </c>
    </row>
    <row r="111" spans="1:17" x14ac:dyDescent="0.35">
      <c r="A111" t="s">
        <v>317</v>
      </c>
      <c r="B111" s="3">
        <v>199</v>
      </c>
      <c r="C111" s="3">
        <v>553</v>
      </c>
      <c r="D111" s="4">
        <v>0.64</v>
      </c>
      <c r="E111" s="5"/>
      <c r="F111" s="6"/>
      <c r="G111" s="3">
        <f>tblProducts[[#This Row],[Old Price]]-tblProducts[[#This Row],[Current Price]]</f>
        <v>354</v>
      </c>
      <c r="H111" s="3" t="str">
        <f>IF(tblProducts[[#This Row],[Rating]]="","Missing",IF(tblProducts[[#This Row],[Rating]]&lt;3,"Poor",IF(tblProducts[[#This Row],[Rating]]&lt;=4.5,"Average","Excellent")))</f>
        <v>Missing</v>
      </c>
      <c r="I111" s="3" t="str">
        <f>IF(tblProducts[[#This Row],[Discount]]="","Missing",IF(tblProducts[[#This Row],[Discount]]&lt;=20%,"Low Discount",IF(tblProducts[[#This Row],[Discount]]&lt;=40%,"Medium Discount","High Discount")))</f>
        <v>High Discount</v>
      </c>
      <c r="J111" s="3" t="str">
        <f>IF(tblProducts[[#This Row],[Current Price]]&lt;=Price_Q1,"Low Price",IF(tblProducts[[#This Row],[Current Price]]&lt;=Price_Q3,"Medium Price","High Price"))</f>
        <v>Low Price</v>
      </c>
      <c r="K111" s="3" t="str">
        <f>IF(tblProducts[[#This Row],[Review]]="","Missing",IF(tblProducts[[#This Row],[Review]]&gt;=Review_P75,"High Engagement","Low Engagement"))</f>
        <v>Missing</v>
      </c>
      <c r="L111"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11" s="3" t="str">
        <f>IF(AND(tblProducts[[#This Row],[Rating Category]]="Excellent",tblProducts[[#This Row],[Engagement Flag]]="High Engagement"),"Yes","No")</f>
        <v>No</v>
      </c>
      <c r="N111" s="3" t="str">
        <f>IF(AND(tblProducts[[#This Row],[Discount Category]]="High Discount",tblProducts[[#This Row],[Rating Category]]="Poor"),"Yes","No")</f>
        <v>No</v>
      </c>
      <c r="O111" s="3" t="str">
        <f>IF(AND(tblProducts[[#This Row],[Discount Category]]="High Discount",tblProducts[[#This Row],[Rating Category]]="Excellent"),"Yes","No")</f>
        <v>No</v>
      </c>
      <c r="P111" s="3" t="str">
        <f>IF(AND(tblProducts[[#This Row],[Rating Category]]="Poor",tblProducts[[#This Row],[Engagement Flag]]="Low Engagement"),"Yes","No")</f>
        <v>No</v>
      </c>
      <c r="Q111" t="s">
        <v>334</v>
      </c>
    </row>
    <row r="112" spans="1:17" x14ac:dyDescent="0.35">
      <c r="A112" t="s">
        <v>296</v>
      </c>
      <c r="B112" s="3">
        <v>3640</v>
      </c>
      <c r="C112" s="3">
        <v>4588</v>
      </c>
      <c r="D112" s="4">
        <v>0.21</v>
      </c>
      <c r="E112" s="5">
        <v>1</v>
      </c>
      <c r="F112" s="6">
        <v>5</v>
      </c>
      <c r="G112" s="3">
        <f>tblProducts[[#This Row],[Old Price]]-tblProducts[[#This Row],[Current Price]]</f>
        <v>948</v>
      </c>
      <c r="H112" s="3" t="str">
        <f>IF(tblProducts[[#This Row],[Rating]]="","Missing",IF(tblProducts[[#This Row],[Rating]]&lt;3,"Poor",IF(tblProducts[[#This Row],[Rating]]&lt;=4.5,"Average","Excellent")))</f>
        <v>Excellent</v>
      </c>
      <c r="I112" s="3" t="str">
        <f>IF(tblProducts[[#This Row],[Discount]]="","Missing",IF(tblProducts[[#This Row],[Discount]]&lt;=20%,"Low Discount",IF(tblProducts[[#This Row],[Discount]]&lt;=40%,"Medium Discount","High Discount")))</f>
        <v>Medium Discount</v>
      </c>
      <c r="J112" s="3" t="str">
        <f>IF(tblProducts[[#This Row],[Current Price]]&lt;=Price_Q1,"Low Price",IF(tblProducts[[#This Row],[Current Price]]&lt;=Price_Q3,"Medium Price","High Price"))</f>
        <v>High Price</v>
      </c>
      <c r="K112" s="3" t="str">
        <f>IF(tblProducts[[#This Row],[Review]]="","Missing",IF(tblProducts[[#This Row],[Review]]&gt;=Review_P75,"High Engagement","Low Engagement"))</f>
        <v>Low Engagement</v>
      </c>
      <c r="L112"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Standard</v>
      </c>
      <c r="M112" s="3" t="str">
        <f>IF(AND(tblProducts[[#This Row],[Rating Category]]="Excellent",tblProducts[[#This Row],[Engagement Flag]]="High Engagement"),"Yes","No")</f>
        <v>No</v>
      </c>
      <c r="N112" s="3" t="str">
        <f>IF(AND(tblProducts[[#This Row],[Discount Category]]="High Discount",tblProducts[[#This Row],[Rating Category]]="Poor"),"Yes","No")</f>
        <v>No</v>
      </c>
      <c r="O112" s="3" t="str">
        <f>IF(AND(tblProducts[[#This Row],[Discount Category]]="High Discount",tblProducts[[#This Row],[Rating Category]]="Excellent"),"Yes","No")</f>
        <v>No</v>
      </c>
      <c r="P112" s="3" t="str">
        <f>IF(AND(tblProducts[[#This Row],[Rating Category]]="Poor",tblProducts[[#This Row],[Engagement Flag]]="Low Engagement"),"Yes","No")</f>
        <v>No</v>
      </c>
      <c r="Q112" t="s">
        <v>335</v>
      </c>
    </row>
    <row r="113" spans="1:17" x14ac:dyDescent="0.35">
      <c r="A113" t="s">
        <v>321</v>
      </c>
      <c r="B113" s="3">
        <v>169</v>
      </c>
      <c r="C113" s="3">
        <v>320</v>
      </c>
      <c r="D113" s="4">
        <v>0.47</v>
      </c>
      <c r="E113" s="5"/>
      <c r="F113" s="6"/>
      <c r="G113" s="3">
        <f>tblProducts[[#This Row],[Old Price]]-tblProducts[[#This Row],[Current Price]]</f>
        <v>151</v>
      </c>
      <c r="H113" s="3" t="str">
        <f>IF(tblProducts[[#This Row],[Rating]]="","Missing",IF(tblProducts[[#This Row],[Rating]]&lt;3,"Poor",IF(tblProducts[[#This Row],[Rating]]&lt;=4.5,"Average","Excellent")))</f>
        <v>Missing</v>
      </c>
      <c r="I113" s="3" t="str">
        <f>IF(tblProducts[[#This Row],[Discount]]="","Missing",IF(tblProducts[[#This Row],[Discount]]&lt;=20%,"Low Discount",IF(tblProducts[[#This Row],[Discount]]&lt;=40%,"Medium Discount","High Discount")))</f>
        <v>High Discount</v>
      </c>
      <c r="J113" s="3" t="str">
        <f>IF(tblProducts[[#This Row],[Current Price]]&lt;=Price_Q1,"Low Price",IF(tblProducts[[#This Row],[Current Price]]&lt;=Price_Q3,"Medium Price","High Price"))</f>
        <v>Low Price</v>
      </c>
      <c r="K113" s="3" t="str">
        <f>IF(tblProducts[[#This Row],[Review]]="","Missing",IF(tblProducts[[#This Row],[Review]]&gt;=Review_P75,"High Engagement","Low Engagement"))</f>
        <v>Missing</v>
      </c>
      <c r="L113" s="3" t="str">
        <f>IF(OR(tblProducts[[#This Row],[Rating]]="",tblProducts[[#This Row],[Review]]=""),"Missing Feedback",IF(AND(tblProducts[[#This Row],[Rating Category]]="Excellent",tblProducts[[#This Row],[Engagement Flag]]="High Engagement"),"High Rating + High Engagement",IF(AND(tblProducts[[#This Row],[Discount Category]]="High Discount",tblProducts[[#This Row],[Rating Category]]="Poor"),"High Discount + Low Rating",IF(AND(tblProducts[[#This Row],[Discount Category]]="High Discount",tblProducts[[#This Row],[Rating Category]]="Excellent"),"High Discount + High Rating","Standard"))))</f>
        <v>Missing Feedback</v>
      </c>
      <c r="M113" s="3" t="str">
        <f>IF(AND(tblProducts[[#This Row],[Rating Category]]="Excellent",tblProducts[[#This Row],[Engagement Flag]]="High Engagement"),"Yes","No")</f>
        <v>No</v>
      </c>
      <c r="N113" s="3" t="str">
        <f>IF(AND(tblProducts[[#This Row],[Discount Category]]="High Discount",tblProducts[[#This Row],[Rating Category]]="Poor"),"Yes","No")</f>
        <v>No</v>
      </c>
      <c r="O113" s="3" t="str">
        <f>IF(AND(tblProducts[[#This Row],[Discount Category]]="High Discount",tblProducts[[#This Row],[Rating Category]]="Excellent"),"Yes","No")</f>
        <v>No</v>
      </c>
      <c r="P113" s="3" t="str">
        <f>IF(AND(tblProducts[[#This Row],[Rating Category]]="Poor",tblProducts[[#This Row],[Engagement Flag]]="Low Engagement"),"Yes","No")</f>
        <v>No</v>
      </c>
      <c r="Q113" t="s">
        <v>334</v>
      </c>
    </row>
    <row r="115" spans="1:17" x14ac:dyDescent="0.35">
      <c r="C115" s="3"/>
      <c r="D115" s="4"/>
      <c r="I115" s="4"/>
      <c r="J115" s="4"/>
      <c r="K115" s="4"/>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12E0-01BA-4176-ACBC-8B6BF50B55B6}">
  <sheetPr>
    <tabColor rgb="FFFF0000"/>
  </sheetPr>
  <dimension ref="A1:F114"/>
  <sheetViews>
    <sheetView topLeftCell="A41" workbookViewId="0">
      <selection activeCell="B74" sqref="B74"/>
    </sheetView>
  </sheetViews>
  <sheetFormatPr defaultRowHeight="14.5" x14ac:dyDescent="0.35"/>
  <cols>
    <col min="1" max="1" width="59.26953125" bestFit="1" customWidth="1"/>
    <col min="2" max="2" width="13.08984375" bestFit="1" customWidth="1"/>
    <col min="3" max="3" width="15.81640625" customWidth="1"/>
    <col min="4" max="4" width="14.6328125" customWidth="1"/>
    <col min="5" max="5" width="12.54296875" customWidth="1"/>
    <col min="6" max="6" width="11.6328125" customWidth="1"/>
    <col min="7" max="23" width="4.36328125" bestFit="1" customWidth="1"/>
    <col min="24" max="24" width="6.81640625" bestFit="1" customWidth="1"/>
  </cols>
  <sheetData>
    <row r="1" spans="1:6" x14ac:dyDescent="0.35">
      <c r="A1" s="7" t="s">
        <v>471</v>
      </c>
      <c r="B1" s="7" t="s">
        <v>472</v>
      </c>
    </row>
    <row r="2" spans="1:6" x14ac:dyDescent="0.35">
      <c r="A2" t="s">
        <v>473</v>
      </c>
      <c r="B2">
        <f>_xlfn.QUARTILE.INC(tblProducts[Current Price],1)</f>
        <v>493</v>
      </c>
    </row>
    <row r="3" spans="1:6" x14ac:dyDescent="0.35">
      <c r="A3" t="s">
        <v>474</v>
      </c>
      <c r="B3">
        <f>_xlfn.QUARTILE.INC(tblProducts[Current Price],3)</f>
        <v>1669.5</v>
      </c>
    </row>
    <row r="6" spans="1:6" x14ac:dyDescent="0.35">
      <c r="A6" s="7" t="s">
        <v>476</v>
      </c>
      <c r="B6" s="7" t="s">
        <v>472</v>
      </c>
    </row>
    <row r="7" spans="1:6" x14ac:dyDescent="0.35">
      <c r="A7" t="s">
        <v>477</v>
      </c>
      <c r="B7">
        <f>_xlfn.QUARTILE.INC(tblProducts[Review],3)</f>
        <v>14</v>
      </c>
    </row>
    <row r="10" spans="1:6" x14ac:dyDescent="0.35">
      <c r="A10" s="7" t="s">
        <v>483</v>
      </c>
    </row>
    <row r="11" spans="1:6" x14ac:dyDescent="0.35">
      <c r="A11" s="28" t="s">
        <v>484</v>
      </c>
      <c r="B11" s="33" t="s">
        <v>330</v>
      </c>
      <c r="C11" s="33" t="s">
        <v>331</v>
      </c>
      <c r="D11" s="34" t="s">
        <v>3</v>
      </c>
      <c r="E11" s="35" t="s">
        <v>4</v>
      </c>
      <c r="F11" s="36" t="s">
        <v>332</v>
      </c>
    </row>
    <row r="12" spans="1:6" x14ac:dyDescent="0.35">
      <c r="A12" s="37" t="s">
        <v>485</v>
      </c>
      <c r="B12" s="38">
        <f>AVERAGE(tblProducts[Current Price])</f>
        <v>1186.8928571428571</v>
      </c>
      <c r="C12" s="38">
        <f>AVERAGE(tblProducts[Old Price])</f>
        <v>1811.1071428571429</v>
      </c>
      <c r="D12" s="39">
        <f>AVERAGE(tblProducts[Discount])</f>
        <v>0.3677678571428572</v>
      </c>
      <c r="E12" s="40">
        <f>AVERAGE(tblProducts[Review])</f>
        <v>12.684210526315789</v>
      </c>
      <c r="F12" s="41">
        <f>AVERAGE(tblProducts[Rating])</f>
        <v>3.8894736842105253</v>
      </c>
    </row>
    <row r="13" spans="1:6" x14ac:dyDescent="0.35">
      <c r="A13" s="37" t="s">
        <v>486</v>
      </c>
      <c r="B13" s="38">
        <f>MEDIAN(tblProducts[Current Price])</f>
        <v>998.5</v>
      </c>
      <c r="C13" s="38">
        <f>MEDIAN(tblProducts[Old Price])</f>
        <v>1699</v>
      </c>
      <c r="D13" s="39">
        <f>MEDIAN(tblProducts[Discount])</f>
        <v>0.42</v>
      </c>
      <c r="E13" s="40">
        <f>MEDIAN(tblProducts[Review])</f>
        <v>7</v>
      </c>
      <c r="F13" s="41">
        <f>MEDIAN(tblProducts[Rating])</f>
        <v>4.2</v>
      </c>
    </row>
    <row r="14" spans="1:6" x14ac:dyDescent="0.35">
      <c r="A14" s="37" t="s">
        <v>487</v>
      </c>
      <c r="B14" s="38">
        <f>MIN(tblProducts[Current Price])</f>
        <v>38</v>
      </c>
      <c r="C14" s="38">
        <f>MIN(tblProducts[Old Price])</f>
        <v>80</v>
      </c>
      <c r="D14" s="39">
        <f>MIN(tblProducts[Discount])</f>
        <v>0.01</v>
      </c>
      <c r="E14" s="40">
        <f>MIN(tblProducts[Review])</f>
        <v>1</v>
      </c>
      <c r="F14" s="41">
        <f>MIN(tblProducts[Rating])</f>
        <v>2</v>
      </c>
    </row>
    <row r="15" spans="1:6" x14ac:dyDescent="0.35">
      <c r="A15" s="37" t="s">
        <v>488</v>
      </c>
      <c r="B15" s="38">
        <f>MAX(tblProducts[Current Price])</f>
        <v>3750</v>
      </c>
      <c r="C15" s="38">
        <f>MAX(tblProducts[Old Price])</f>
        <v>6143</v>
      </c>
      <c r="D15" s="39">
        <f>MAX(tblProducts[Discount])</f>
        <v>0.64</v>
      </c>
      <c r="E15" s="40">
        <f>MAX(tblProducts[Review])</f>
        <v>69</v>
      </c>
      <c r="F15" s="41">
        <f>MAX(tblProducts[Rating])</f>
        <v>5</v>
      </c>
    </row>
    <row r="16" spans="1:6" x14ac:dyDescent="0.35">
      <c r="A16" s="37" t="s">
        <v>489</v>
      </c>
      <c r="B16" s="37">
        <f>COUNT(tblProducts[Current Price])</f>
        <v>112</v>
      </c>
      <c r="C16" s="37">
        <f>COUNT(tblProducts[Old Price])</f>
        <v>112</v>
      </c>
      <c r="D16" s="37">
        <f>COUNT(tblProducts[Discount])</f>
        <v>112</v>
      </c>
      <c r="E16" s="37">
        <f>COUNT(tblProducts[Review])</f>
        <v>57</v>
      </c>
      <c r="F16" s="37">
        <f>COUNT(tblProducts[Rating])</f>
        <v>57</v>
      </c>
    </row>
    <row r="17" spans="1:6" x14ac:dyDescent="0.35">
      <c r="A17" s="51" t="s">
        <v>524</v>
      </c>
      <c r="B17" s="52" t="str">
        <f>_xlfn.XLOOKUP(MAX(tblProducts[Current Price]),tblProducts[Current Price],tblProducts[Product],0)</f>
        <v>32PCS Portable Cordless Drill Set With Cyclic Battery Drive -26 Variable Speed</v>
      </c>
      <c r="C17" s="52"/>
      <c r="D17" s="52"/>
      <c r="E17" s="52"/>
      <c r="F17" s="53"/>
    </row>
    <row r="18" spans="1:6" x14ac:dyDescent="0.35">
      <c r="A18" s="14" t="s">
        <v>525</v>
      </c>
      <c r="B18" s="54" t="str">
        <f>_xlfn.XLOOKUP(MIN(tblProducts[Current Price]),tblProducts[Current Price],tblProducts[Product],0)</f>
        <v>3PCS Single Head Knitting Crochet Sweater Needle Set</v>
      </c>
      <c r="C18" s="54"/>
      <c r="D18" s="54"/>
      <c r="E18" s="54"/>
      <c r="F18" s="11"/>
    </row>
    <row r="20" spans="1:6" x14ac:dyDescent="0.35">
      <c r="A20" s="7" t="s">
        <v>531</v>
      </c>
    </row>
    <row r="21" spans="1:6" x14ac:dyDescent="0.35">
      <c r="A21" s="28" t="s">
        <v>470</v>
      </c>
      <c r="B21" s="28" t="s">
        <v>490</v>
      </c>
      <c r="C21" s="28" t="s">
        <v>491</v>
      </c>
      <c r="D21" s="28" t="s">
        <v>492</v>
      </c>
    </row>
    <row r="22" spans="1:6" x14ac:dyDescent="0.35">
      <c r="A22" s="37" t="s">
        <v>493</v>
      </c>
      <c r="B22" s="37">
        <f>COUNTIF(tblProducts[Discount Category],"Low Discount")</f>
        <v>19</v>
      </c>
      <c r="C22" s="42">
        <f>AVERAGEIF(tblProducts[Discount Category],"Low Discount",tblProducts[Discount])</f>
        <v>7.8947368421052641E-2</v>
      </c>
      <c r="D22" s="40">
        <f>AVERAGEIF(tblProducts[Discount Category],"Low Discount",tblProducts[Review])</f>
        <v>10</v>
      </c>
    </row>
    <row r="23" spans="1:6" x14ac:dyDescent="0.35">
      <c r="A23" s="37" t="s">
        <v>494</v>
      </c>
      <c r="B23" s="37">
        <f>COUNTIF(tblProducts[Discount Category],"Medium Discount")</f>
        <v>31</v>
      </c>
      <c r="C23" s="42">
        <f>AVERAGEIF(tblProducts[Discount Category],"Medium Discount",tblProducts[Discount])</f>
        <v>0.31354838709677418</v>
      </c>
      <c r="D23" s="40">
        <f>AVERAGEIF(tblProducts[Discount Category],"Medium Discount",tblProducts[Review])</f>
        <v>15.409090909090908</v>
      </c>
    </row>
    <row r="24" spans="1:6" x14ac:dyDescent="0.35">
      <c r="A24" s="37" t="s">
        <v>495</v>
      </c>
      <c r="B24" s="37">
        <f>COUNTIF(tblProducts[Discount Category],"High Discount")</f>
        <v>62</v>
      </c>
      <c r="C24" s="42">
        <f>AVERAGEIF(tblProducts[Discount Category],"High Discount",tblProducts[Discount])</f>
        <v>0.48338709677419334</v>
      </c>
      <c r="D24" s="40">
        <f>AVERAGEIF(tblProducts[Discount Category],"High Discount",tblProducts[Review])</f>
        <v>11.133333333333333</v>
      </c>
    </row>
    <row r="27" spans="1:6" x14ac:dyDescent="0.35">
      <c r="A27" s="28" t="s">
        <v>469</v>
      </c>
      <c r="B27" s="28" t="s">
        <v>490</v>
      </c>
      <c r="C27" s="28" t="s">
        <v>492</v>
      </c>
    </row>
    <row r="28" spans="1:6" x14ac:dyDescent="0.35">
      <c r="A28" s="37" t="s">
        <v>496</v>
      </c>
      <c r="B28" s="37">
        <f>COUNTIF(tblProducts[Rating Category],"Poor")</f>
        <v>12</v>
      </c>
      <c r="C28" s="43">
        <f>AVERAGEIF(tblProducts[Rating Category],"Poor",tblProducts[Review])</f>
        <v>14.083333333333334</v>
      </c>
    </row>
    <row r="29" spans="1:6" x14ac:dyDescent="0.35">
      <c r="A29" s="37" t="s">
        <v>485</v>
      </c>
      <c r="B29" s="37">
        <f>COUNTIF(tblProducts[Rating Category],"Average")</f>
        <v>26</v>
      </c>
      <c r="C29" s="43">
        <f>AVERAGEIF(tblProducts[Rating Category],"Average",tblProducts[Review])</f>
        <v>10.192307692307692</v>
      </c>
    </row>
    <row r="30" spans="1:6" x14ac:dyDescent="0.35">
      <c r="A30" s="37" t="s">
        <v>497</v>
      </c>
      <c r="B30" s="37">
        <f>COUNTIF(tblProducts[Rating Category],"Excellent")</f>
        <v>19</v>
      </c>
      <c r="C30" s="43">
        <f>AVERAGEIF(tblProducts[Rating Category],"Excellent",tblProducts[Review])</f>
        <v>15.210526315789474</v>
      </c>
    </row>
    <row r="31" spans="1:6" x14ac:dyDescent="0.35">
      <c r="C31" s="5"/>
    </row>
    <row r="32" spans="1:6" x14ac:dyDescent="0.35">
      <c r="C32" s="5"/>
    </row>
    <row r="33" spans="1:6" x14ac:dyDescent="0.35">
      <c r="A33" s="28" t="s">
        <v>475</v>
      </c>
      <c r="B33" s="28" t="s">
        <v>490</v>
      </c>
      <c r="C33" s="28" t="s">
        <v>501</v>
      </c>
      <c r="D33" s="28" t="s">
        <v>502</v>
      </c>
      <c r="E33" s="28" t="s">
        <v>503</v>
      </c>
      <c r="F33" s="28" t="s">
        <v>504</v>
      </c>
    </row>
    <row r="34" spans="1:6" x14ac:dyDescent="0.35">
      <c r="A34" s="37" t="s">
        <v>505</v>
      </c>
      <c r="B34" s="37">
        <f>COUNTIF(tblProducts[Price Category],"Low Price")</f>
        <v>28</v>
      </c>
      <c r="C34" s="38">
        <f>AVERAGEIF(tblProducts[Price Category],"Low price",tblProducts[Current Price])</f>
        <v>284.75</v>
      </c>
      <c r="D34" s="42">
        <f>AVERAGEIF(tblProducts[Price Category],"Low Price",tblProducts[Discount])</f>
        <v>0.47821428571428587</v>
      </c>
      <c r="E34" s="40">
        <f>AVERAGEIF(tblProducts[Price Category],"Low Price",tblProducts[Review])</f>
        <v>16.571428571428573</v>
      </c>
      <c r="F34" s="41">
        <f>AVERAGEIF(tblProducts[Price Category],"Low Price",tblProducts[Rating])</f>
        <v>3.6357142857142861</v>
      </c>
    </row>
    <row r="35" spans="1:6" x14ac:dyDescent="0.35">
      <c r="A35" s="37" t="s">
        <v>506</v>
      </c>
      <c r="B35" s="37">
        <f>COUNTIF(tblProducts[Price Category],"Medium Price")</f>
        <v>56</v>
      </c>
      <c r="C35" s="38">
        <f>AVERAGEIF(tblProducts[Price Category],"Medium price",tblProducts[Current Price])</f>
        <v>1073.8392857142858</v>
      </c>
      <c r="D35" s="42">
        <f>AVERAGEIF(tblProducts[Price Category],"Medium Price",tblProducts[Discount])</f>
        <v>0.36249999999999993</v>
      </c>
      <c r="E35" s="40">
        <f>AVERAGEIF(tblProducts[Price Category],"Medium Price",tblProducts[Review])</f>
        <v>10.125</v>
      </c>
      <c r="F35" s="41">
        <f>AVERAGEIF(tblProducts[Price Category],"Medium Price",tblProducts[Rating])</f>
        <v>3.8833333333333333</v>
      </c>
    </row>
    <row r="36" spans="1:6" x14ac:dyDescent="0.35">
      <c r="A36" s="37" t="s">
        <v>507</v>
      </c>
      <c r="B36" s="37">
        <f>COUNTIF(tblProducts[Price Category],"High Price")</f>
        <v>28</v>
      </c>
      <c r="C36" s="38">
        <f>AVERAGEIF(tblProducts[Price Category],"High price",tblProducts[Current Price])</f>
        <v>2315.1428571428573</v>
      </c>
      <c r="D36" s="42">
        <f>AVERAGEIF(tblProducts[Price Category],"High Price",tblProducts[Discount])</f>
        <v>0.26785714285714285</v>
      </c>
      <c r="E36" s="40">
        <f>AVERAGEIF(tblProducts[Price Category],"High Price",tblProducts[Review])</f>
        <v>13.052631578947368</v>
      </c>
      <c r="F36" s="41">
        <f>AVERAGEIF(tblProducts[Price Category],"High Price",tblProducts[Rating])</f>
        <v>4.0842105263157897</v>
      </c>
    </row>
    <row r="37" spans="1:6" x14ac:dyDescent="0.35">
      <c r="C37" s="5"/>
    </row>
    <row r="38" spans="1:6" x14ac:dyDescent="0.35">
      <c r="C38" s="5"/>
    </row>
    <row r="39" spans="1:6" x14ac:dyDescent="0.35">
      <c r="A39" s="32" t="s">
        <v>535</v>
      </c>
      <c r="B39" t="s">
        <v>528</v>
      </c>
      <c r="C39" s="5"/>
    </row>
    <row r="40" spans="1:6" x14ac:dyDescent="0.35">
      <c r="A40" s="21" t="s">
        <v>56</v>
      </c>
      <c r="B40">
        <v>5</v>
      </c>
      <c r="C40" s="5"/>
    </row>
    <row r="41" spans="1:6" x14ac:dyDescent="0.35">
      <c r="A41" s="21" t="s">
        <v>63</v>
      </c>
      <c r="B41">
        <v>5</v>
      </c>
      <c r="C41" s="5"/>
    </row>
    <row r="42" spans="1:6" x14ac:dyDescent="0.35">
      <c r="A42" s="21" t="s">
        <v>296</v>
      </c>
      <c r="B42">
        <v>5</v>
      </c>
      <c r="C42" s="5"/>
    </row>
    <row r="43" spans="1:6" x14ac:dyDescent="0.35">
      <c r="A43" s="21" t="s">
        <v>246</v>
      </c>
      <c r="B43">
        <v>5</v>
      </c>
      <c r="C43" s="5"/>
    </row>
    <row r="44" spans="1:6" x14ac:dyDescent="0.35">
      <c r="A44" s="21" t="s">
        <v>60</v>
      </c>
      <c r="B44">
        <v>5</v>
      </c>
      <c r="C44" s="5"/>
    </row>
    <row r="45" spans="1:6" x14ac:dyDescent="0.35">
      <c r="A45" s="21" t="s">
        <v>121</v>
      </c>
      <c r="B45">
        <v>5</v>
      </c>
      <c r="C45" s="5"/>
    </row>
    <row r="46" spans="1:6" x14ac:dyDescent="0.35">
      <c r="A46" s="21" t="s">
        <v>118</v>
      </c>
      <c r="B46">
        <v>5</v>
      </c>
      <c r="C46" s="5"/>
    </row>
    <row r="47" spans="1:6" x14ac:dyDescent="0.35">
      <c r="C47" s="5"/>
    </row>
    <row r="48" spans="1:6" ht="12.5" customHeight="1" x14ac:dyDescent="0.35">
      <c r="C48" s="5"/>
    </row>
    <row r="49" spans="1:3" ht="12.5" customHeight="1" x14ac:dyDescent="0.35">
      <c r="A49" s="32" t="s">
        <v>333</v>
      </c>
      <c r="B49" t="s">
        <v>335</v>
      </c>
      <c r="C49" s="5"/>
    </row>
    <row r="50" spans="1:3" ht="12.5" customHeight="1" x14ac:dyDescent="0.35">
      <c r="C50" s="5"/>
    </row>
    <row r="51" spans="1:3" ht="12.5" customHeight="1" x14ac:dyDescent="0.35">
      <c r="A51" s="32" t="s">
        <v>534</v>
      </c>
      <c r="B51" t="s">
        <v>528</v>
      </c>
      <c r="C51" s="5"/>
    </row>
    <row r="52" spans="1:3" ht="12.5" customHeight="1" x14ac:dyDescent="0.35">
      <c r="A52" s="21" t="s">
        <v>228</v>
      </c>
      <c r="B52">
        <v>2.2000000000000002</v>
      </c>
      <c r="C52" s="5"/>
    </row>
    <row r="53" spans="1:3" ht="12.5" customHeight="1" x14ac:dyDescent="0.35">
      <c r="A53" s="21" t="s">
        <v>207</v>
      </c>
      <c r="B53">
        <v>2.2000000000000002</v>
      </c>
      <c r="C53" s="5"/>
    </row>
    <row r="54" spans="1:3" ht="12.5" customHeight="1" x14ac:dyDescent="0.35">
      <c r="A54" s="21" t="s">
        <v>191</v>
      </c>
      <c r="B54">
        <v>2.1</v>
      </c>
      <c r="C54" s="5"/>
    </row>
    <row r="55" spans="1:3" ht="12.5" customHeight="1" x14ac:dyDescent="0.35">
      <c r="A55" s="21" t="s">
        <v>230</v>
      </c>
      <c r="B55">
        <v>2.1</v>
      </c>
      <c r="C55" s="5"/>
    </row>
    <row r="56" spans="1:3" ht="12.5" customHeight="1" x14ac:dyDescent="0.35">
      <c r="A56" s="21" t="s">
        <v>319</v>
      </c>
      <c r="B56">
        <v>2</v>
      </c>
      <c r="C56" s="5"/>
    </row>
    <row r="57" spans="1:3" ht="12.5" customHeight="1" x14ac:dyDescent="0.35">
      <c r="C57" s="5"/>
    </row>
    <row r="58" spans="1:3" ht="12.5" customHeight="1" x14ac:dyDescent="0.35">
      <c r="C58" s="5"/>
    </row>
    <row r="59" spans="1:3" x14ac:dyDescent="0.35">
      <c r="A59" s="55" t="s">
        <v>532</v>
      </c>
      <c r="C59" s="5"/>
    </row>
    <row r="60" spans="1:3" x14ac:dyDescent="0.35">
      <c r="A60" s="55"/>
      <c r="C60" s="5"/>
    </row>
    <row r="61" spans="1:3" x14ac:dyDescent="0.35">
      <c r="A61" s="32" t="s">
        <v>529</v>
      </c>
      <c r="B61" t="s">
        <v>533</v>
      </c>
      <c r="C61" s="5"/>
    </row>
    <row r="62" spans="1:3" x14ac:dyDescent="0.35">
      <c r="A62" s="21" t="s">
        <v>317</v>
      </c>
      <c r="B62" s="31">
        <v>0.64</v>
      </c>
      <c r="C62" s="5"/>
    </row>
    <row r="63" spans="1:3" x14ac:dyDescent="0.35">
      <c r="A63" s="21" t="s">
        <v>35</v>
      </c>
      <c r="B63" s="31">
        <v>0.55000000000000004</v>
      </c>
      <c r="C63" s="5"/>
    </row>
    <row r="64" spans="1:3" x14ac:dyDescent="0.35">
      <c r="A64" s="21" t="s">
        <v>191</v>
      </c>
      <c r="B64" s="31">
        <v>0.55000000000000004</v>
      </c>
      <c r="C64" s="5"/>
    </row>
    <row r="65" spans="1:3" x14ac:dyDescent="0.35">
      <c r="A65" s="21" t="s">
        <v>155</v>
      </c>
      <c r="B65" s="31">
        <v>0.55000000000000004</v>
      </c>
      <c r="C65" s="5"/>
    </row>
    <row r="66" spans="1:3" x14ac:dyDescent="0.35">
      <c r="A66" s="21" t="s">
        <v>86</v>
      </c>
      <c r="B66" s="31">
        <v>0.54</v>
      </c>
      <c r="C66" s="5"/>
    </row>
    <row r="67" spans="1:3" x14ac:dyDescent="0.35">
      <c r="A67" s="21" t="s">
        <v>187</v>
      </c>
      <c r="B67" s="31">
        <v>0.54</v>
      </c>
      <c r="C67" s="5"/>
    </row>
    <row r="68" spans="1:3" x14ac:dyDescent="0.35">
      <c r="A68" s="21" t="s">
        <v>121</v>
      </c>
      <c r="B68" s="31">
        <v>0.53</v>
      </c>
      <c r="C68" s="5"/>
    </row>
    <row r="69" spans="1:3" x14ac:dyDescent="0.35">
      <c r="A69" s="21" t="s">
        <v>71</v>
      </c>
      <c r="B69" s="31">
        <v>0.53</v>
      </c>
      <c r="C69" s="5"/>
    </row>
    <row r="70" spans="1:3" x14ac:dyDescent="0.35">
      <c r="A70" s="21" t="s">
        <v>103</v>
      </c>
      <c r="B70" s="31">
        <v>0.52</v>
      </c>
      <c r="C70" s="5"/>
    </row>
    <row r="71" spans="1:3" x14ac:dyDescent="0.35">
      <c r="A71" s="21" t="s">
        <v>199</v>
      </c>
      <c r="B71" s="31">
        <v>0.52</v>
      </c>
      <c r="C71" s="5"/>
    </row>
    <row r="72" spans="1:3" x14ac:dyDescent="0.35">
      <c r="A72" s="55"/>
      <c r="C72" s="5"/>
    </row>
    <row r="73" spans="1:3" x14ac:dyDescent="0.35">
      <c r="A73" s="55"/>
      <c r="C73" s="5"/>
    </row>
    <row r="74" spans="1:3" x14ac:dyDescent="0.35">
      <c r="A74" s="32" t="s">
        <v>529</v>
      </c>
      <c r="B74" t="s">
        <v>527</v>
      </c>
      <c r="C74" s="5"/>
    </row>
    <row r="75" spans="1:3" x14ac:dyDescent="0.35">
      <c r="A75" s="21" t="s">
        <v>195</v>
      </c>
      <c r="B75">
        <v>69</v>
      </c>
      <c r="C75" s="5"/>
    </row>
    <row r="76" spans="1:3" x14ac:dyDescent="0.35">
      <c r="A76" s="21" t="s">
        <v>30</v>
      </c>
      <c r="B76">
        <v>55</v>
      </c>
      <c r="C76" s="5"/>
    </row>
    <row r="77" spans="1:3" x14ac:dyDescent="0.35">
      <c r="A77" s="21" t="s">
        <v>90</v>
      </c>
      <c r="B77">
        <v>49</v>
      </c>
      <c r="C77" s="5"/>
    </row>
    <row r="78" spans="1:3" x14ac:dyDescent="0.35">
      <c r="A78" s="21" t="s">
        <v>68</v>
      </c>
      <c r="B78">
        <v>44</v>
      </c>
      <c r="C78" s="5"/>
    </row>
    <row r="79" spans="1:3" x14ac:dyDescent="0.35">
      <c r="A79" s="21" t="s">
        <v>44</v>
      </c>
      <c r="B79">
        <v>39</v>
      </c>
      <c r="C79" s="5"/>
    </row>
    <row r="80" spans="1:3" x14ac:dyDescent="0.35">
      <c r="A80" s="21" t="s">
        <v>123</v>
      </c>
      <c r="B80">
        <v>36</v>
      </c>
      <c r="C80" s="5"/>
    </row>
    <row r="81" spans="1:3" x14ac:dyDescent="0.35">
      <c r="A81" s="21" t="s">
        <v>115</v>
      </c>
      <c r="B81">
        <v>32</v>
      </c>
      <c r="C81" s="5"/>
    </row>
    <row r="82" spans="1:3" x14ac:dyDescent="0.35">
      <c r="A82" s="21" t="s">
        <v>14</v>
      </c>
      <c r="B82">
        <v>24</v>
      </c>
      <c r="C82" s="5"/>
    </row>
    <row r="83" spans="1:3" x14ac:dyDescent="0.35">
      <c r="A83" s="21" t="s">
        <v>112</v>
      </c>
      <c r="B83">
        <v>20</v>
      </c>
    </row>
    <row r="84" spans="1:3" x14ac:dyDescent="0.35">
      <c r="A84" s="21" t="s">
        <v>98</v>
      </c>
      <c r="B84">
        <v>20</v>
      </c>
    </row>
    <row r="85" spans="1:3" x14ac:dyDescent="0.35">
      <c r="A85" s="21"/>
    </row>
    <row r="86" spans="1:3" x14ac:dyDescent="0.35">
      <c r="A86" s="21"/>
    </row>
    <row r="87" spans="1:3" x14ac:dyDescent="0.35">
      <c r="A87" s="32" t="s">
        <v>529</v>
      </c>
      <c r="B87" t="s">
        <v>528</v>
      </c>
    </row>
    <row r="88" spans="1:3" x14ac:dyDescent="0.35">
      <c r="A88" s="21" t="s">
        <v>121</v>
      </c>
      <c r="B88">
        <v>5</v>
      </c>
    </row>
    <row r="89" spans="1:3" x14ac:dyDescent="0.35">
      <c r="A89" s="21" t="s">
        <v>63</v>
      </c>
      <c r="B89">
        <v>5</v>
      </c>
    </row>
    <row r="90" spans="1:3" x14ac:dyDescent="0.35">
      <c r="A90" s="21" t="s">
        <v>296</v>
      </c>
      <c r="B90">
        <v>5</v>
      </c>
    </row>
    <row r="91" spans="1:3" x14ac:dyDescent="0.35">
      <c r="A91" s="21" t="s">
        <v>56</v>
      </c>
      <c r="B91">
        <v>5</v>
      </c>
    </row>
    <row r="92" spans="1:3" x14ac:dyDescent="0.35">
      <c r="A92" s="21" t="s">
        <v>60</v>
      </c>
      <c r="B92">
        <v>5</v>
      </c>
    </row>
    <row r="93" spans="1:3" x14ac:dyDescent="0.35">
      <c r="A93" s="21" t="s">
        <v>246</v>
      </c>
      <c r="B93">
        <v>5</v>
      </c>
    </row>
    <row r="94" spans="1:3" x14ac:dyDescent="0.35">
      <c r="A94" s="21" t="s">
        <v>118</v>
      </c>
      <c r="B94">
        <v>5</v>
      </c>
    </row>
    <row r="95" spans="1:3" x14ac:dyDescent="0.35">
      <c r="A95" s="21" t="s">
        <v>35</v>
      </c>
      <c r="B95">
        <v>4.8</v>
      </c>
    </row>
    <row r="96" spans="1:3" x14ac:dyDescent="0.35">
      <c r="A96" s="21" t="s">
        <v>22</v>
      </c>
      <c r="B96">
        <v>4.8</v>
      </c>
    </row>
    <row r="97" spans="1:2" x14ac:dyDescent="0.35">
      <c r="A97" s="21" t="s">
        <v>47</v>
      </c>
      <c r="B97">
        <v>4.8</v>
      </c>
    </row>
    <row r="98" spans="1:2" x14ac:dyDescent="0.35">
      <c r="A98" s="21"/>
    </row>
    <row r="99" spans="1:2" x14ac:dyDescent="0.35">
      <c r="A99" s="21"/>
    </row>
    <row r="100" spans="1:2" x14ac:dyDescent="0.35">
      <c r="A100" s="28" t="s">
        <v>479</v>
      </c>
      <c r="B100" s="28" t="s">
        <v>508</v>
      </c>
    </row>
    <row r="101" spans="1:2" x14ac:dyDescent="0.35">
      <c r="A101" s="37" t="s">
        <v>480</v>
      </c>
      <c r="B101" s="44">
        <f>COUNTIF(tblProducts[High Rating + High Engagement],"yes")</f>
        <v>6</v>
      </c>
    </row>
    <row r="102" spans="1:2" x14ac:dyDescent="0.35">
      <c r="A102" s="37" t="s">
        <v>481</v>
      </c>
      <c r="B102" s="44">
        <f>COUNTIF(tblProducts[High Discount + Low Rating],"yes")</f>
        <v>10</v>
      </c>
    </row>
    <row r="103" spans="1:2" x14ac:dyDescent="0.35">
      <c r="A103" s="37" t="s">
        <v>482</v>
      </c>
      <c r="B103" s="44">
        <f>COUNTIF(tblProducts[High Discount + High Rating],"yes")</f>
        <v>8</v>
      </c>
    </row>
    <row r="104" spans="1:2" x14ac:dyDescent="0.35">
      <c r="A104" s="21"/>
    </row>
    <row r="105" spans="1:2" x14ac:dyDescent="0.35">
      <c r="A105" s="21"/>
    </row>
    <row r="106" spans="1:2" x14ac:dyDescent="0.35">
      <c r="A106" s="21"/>
    </row>
    <row r="107" spans="1:2" x14ac:dyDescent="0.35">
      <c r="A107" s="21"/>
    </row>
    <row r="108" spans="1:2" x14ac:dyDescent="0.35">
      <c r="A108" s="21"/>
    </row>
    <row r="110" spans="1:2" x14ac:dyDescent="0.35">
      <c r="A110" s="7" t="s">
        <v>484</v>
      </c>
      <c r="B110" s="7" t="s">
        <v>472</v>
      </c>
    </row>
    <row r="111" spans="1:2" x14ac:dyDescent="0.35">
      <c r="A111" t="s">
        <v>498</v>
      </c>
      <c r="B111" s="30">
        <f>CORREL(tblProducts[Rating],tblProducts[Review])</f>
        <v>5.7209035119876489E-2</v>
      </c>
    </row>
    <row r="113" spans="1:3" x14ac:dyDescent="0.35">
      <c r="A113" s="7" t="s">
        <v>484</v>
      </c>
      <c r="B113" s="7" t="s">
        <v>336</v>
      </c>
      <c r="C113" s="7" t="s">
        <v>499</v>
      </c>
    </row>
    <row r="114" spans="1:3" x14ac:dyDescent="0.35">
      <c r="A114" t="s">
        <v>498</v>
      </c>
      <c r="B114">
        <v>0.06</v>
      </c>
      <c r="C114" t="s">
        <v>500</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D67F-20F3-4BDF-8032-421E045418BA}">
  <sheetPr>
    <tabColor theme="4" tint="0.79998168889431442"/>
  </sheetPr>
  <dimension ref="A3:J61"/>
  <sheetViews>
    <sheetView topLeftCell="A2" workbookViewId="0">
      <selection activeCell="M5" sqref="M5"/>
    </sheetView>
  </sheetViews>
  <sheetFormatPr defaultRowHeight="14.5" x14ac:dyDescent="0.35"/>
  <cols>
    <col min="1" max="1" width="33.26953125" customWidth="1"/>
    <col min="2" max="2" width="15.6328125" bestFit="1" customWidth="1"/>
    <col min="3" max="3" width="14.81640625" bestFit="1" customWidth="1"/>
    <col min="4" max="4" width="13.1796875" customWidth="1"/>
    <col min="5" max="5" width="10.08984375" bestFit="1" customWidth="1"/>
    <col min="6" max="6" width="16.26953125" bestFit="1" customWidth="1"/>
    <col min="7" max="7" width="14.90625" bestFit="1" customWidth="1"/>
    <col min="8" max="8" width="14.08984375" customWidth="1"/>
    <col min="9" max="9" width="18.453125" bestFit="1" customWidth="1"/>
    <col min="10" max="10" width="8.26953125" bestFit="1" customWidth="1"/>
    <col min="11" max="11" width="10.08984375" bestFit="1" customWidth="1"/>
    <col min="12" max="12" width="9.453125" bestFit="1" customWidth="1"/>
  </cols>
  <sheetData>
    <row r="3" spans="1:10" x14ac:dyDescent="0.35">
      <c r="A3" s="32" t="s">
        <v>470</v>
      </c>
      <c r="B3" t="s">
        <v>490</v>
      </c>
      <c r="C3" t="s">
        <v>502</v>
      </c>
      <c r="D3" t="s">
        <v>511</v>
      </c>
      <c r="F3" s="32" t="s">
        <v>470</v>
      </c>
      <c r="G3" t="s">
        <v>511</v>
      </c>
      <c r="I3" s="32" t="s">
        <v>470</v>
      </c>
      <c r="J3" t="s">
        <v>490</v>
      </c>
    </row>
    <row r="4" spans="1:10" x14ac:dyDescent="0.35">
      <c r="A4" s="21" t="s">
        <v>494</v>
      </c>
      <c r="B4">
        <v>31</v>
      </c>
      <c r="C4" s="31">
        <v>0.31354838709677418</v>
      </c>
      <c r="D4" s="5">
        <v>15.409090909090908</v>
      </c>
      <c r="F4" s="21" t="s">
        <v>493</v>
      </c>
      <c r="G4" s="5">
        <v>10</v>
      </c>
      <c r="I4" s="21" t="s">
        <v>494</v>
      </c>
      <c r="J4">
        <v>31</v>
      </c>
    </row>
    <row r="5" spans="1:10" x14ac:dyDescent="0.35">
      <c r="A5" s="21" t="s">
        <v>493</v>
      </c>
      <c r="B5">
        <v>19</v>
      </c>
      <c r="C5" s="31">
        <v>7.8947368421052641E-2</v>
      </c>
      <c r="D5" s="5">
        <v>10</v>
      </c>
      <c r="F5" s="21" t="s">
        <v>494</v>
      </c>
      <c r="G5" s="5">
        <v>15.409090909090908</v>
      </c>
      <c r="I5" s="21" t="s">
        <v>493</v>
      </c>
      <c r="J5">
        <v>19</v>
      </c>
    </row>
    <row r="6" spans="1:10" x14ac:dyDescent="0.35">
      <c r="A6" s="21" t="s">
        <v>495</v>
      </c>
      <c r="B6">
        <v>62</v>
      </c>
      <c r="C6" s="31">
        <v>0.48338709677419334</v>
      </c>
      <c r="D6" s="5">
        <v>11.133333333333333</v>
      </c>
      <c r="F6" s="21" t="s">
        <v>495</v>
      </c>
      <c r="G6" s="5">
        <v>11.133333333333333</v>
      </c>
      <c r="I6" s="21" t="s">
        <v>495</v>
      </c>
      <c r="J6">
        <v>62</v>
      </c>
    </row>
    <row r="7" spans="1:10" x14ac:dyDescent="0.35">
      <c r="A7" s="21" t="s">
        <v>509</v>
      </c>
      <c r="B7">
        <v>112</v>
      </c>
      <c r="C7" s="31">
        <v>0.36776785714285715</v>
      </c>
      <c r="D7" s="5">
        <v>12.684210526315789</v>
      </c>
      <c r="F7" s="21" t="s">
        <v>509</v>
      </c>
      <c r="G7" s="5">
        <v>12.684210526315789</v>
      </c>
      <c r="I7" s="21" t="s">
        <v>509</v>
      </c>
      <c r="J7">
        <v>112</v>
      </c>
    </row>
    <row r="11" spans="1:10" x14ac:dyDescent="0.35">
      <c r="A11" s="32" t="s">
        <v>475</v>
      </c>
      <c r="B11" t="s">
        <v>490</v>
      </c>
      <c r="C11" t="s">
        <v>501</v>
      </c>
      <c r="D11" t="s">
        <v>502</v>
      </c>
      <c r="E11" t="s">
        <v>511</v>
      </c>
      <c r="F11" t="s">
        <v>504</v>
      </c>
      <c r="H11" s="32" t="s">
        <v>475</v>
      </c>
      <c r="I11" t="s">
        <v>504</v>
      </c>
    </row>
    <row r="12" spans="1:10" x14ac:dyDescent="0.35">
      <c r="A12" s="21" t="s">
        <v>507</v>
      </c>
      <c r="B12">
        <v>28</v>
      </c>
      <c r="C12" s="3">
        <v>2315.1428571428573</v>
      </c>
      <c r="D12" s="31">
        <v>0.26785714285714285</v>
      </c>
      <c r="E12" s="5">
        <v>13.052631578947368</v>
      </c>
      <c r="F12" s="30">
        <v>4.0842105263157897</v>
      </c>
      <c r="H12" s="21" t="s">
        <v>505</v>
      </c>
      <c r="I12" s="30">
        <v>3.6357142857142861</v>
      </c>
    </row>
    <row r="13" spans="1:10" x14ac:dyDescent="0.35">
      <c r="A13" s="21" t="s">
        <v>505</v>
      </c>
      <c r="B13">
        <v>28</v>
      </c>
      <c r="C13" s="3">
        <v>284.75</v>
      </c>
      <c r="D13" s="31">
        <v>0.47821428571428587</v>
      </c>
      <c r="E13" s="5">
        <v>16.571428571428573</v>
      </c>
      <c r="F13" s="30">
        <v>3.6357142857142861</v>
      </c>
      <c r="H13" s="21" t="s">
        <v>506</v>
      </c>
      <c r="I13" s="30">
        <v>3.8833333333333333</v>
      </c>
    </row>
    <row r="14" spans="1:10" x14ac:dyDescent="0.35">
      <c r="A14" s="21" t="s">
        <v>506</v>
      </c>
      <c r="B14">
        <v>56</v>
      </c>
      <c r="C14" s="3">
        <v>1073.8392857142858</v>
      </c>
      <c r="D14" s="31">
        <v>0.36249999999999993</v>
      </c>
      <c r="E14" s="5">
        <v>10.125</v>
      </c>
      <c r="F14" s="30">
        <v>3.8833333333333333</v>
      </c>
      <c r="H14" s="21" t="s">
        <v>507</v>
      </c>
      <c r="I14" s="30">
        <v>4.0842105263157897</v>
      </c>
    </row>
    <row r="15" spans="1:10" x14ac:dyDescent="0.35">
      <c r="A15" s="21" t="s">
        <v>509</v>
      </c>
      <c r="B15">
        <v>112</v>
      </c>
      <c r="C15" s="3">
        <v>1186.8928571428571</v>
      </c>
      <c r="D15" s="31">
        <v>0.36776785714285715</v>
      </c>
      <c r="E15" s="5">
        <v>12.684210526315789</v>
      </c>
      <c r="F15" s="30">
        <v>3.8894736842105262</v>
      </c>
      <c r="H15" s="21" t="s">
        <v>509</v>
      </c>
      <c r="I15" s="30">
        <v>3.8894736842105266</v>
      </c>
    </row>
    <row r="18" spans="1:7" x14ac:dyDescent="0.35">
      <c r="A18" s="32" t="s">
        <v>512</v>
      </c>
      <c r="B18" s="32" t="s">
        <v>513</v>
      </c>
      <c r="F18" s="32" t="s">
        <v>469</v>
      </c>
      <c r="G18" t="s">
        <v>490</v>
      </c>
    </row>
    <row r="19" spans="1:7" x14ac:dyDescent="0.35">
      <c r="A19" s="32" t="s">
        <v>469</v>
      </c>
      <c r="B19" t="s">
        <v>514</v>
      </c>
      <c r="C19" t="s">
        <v>515</v>
      </c>
      <c r="D19" t="s">
        <v>509</v>
      </c>
      <c r="F19" s="21" t="s">
        <v>496</v>
      </c>
      <c r="G19" s="5">
        <v>12</v>
      </c>
    </row>
    <row r="20" spans="1:7" x14ac:dyDescent="0.35">
      <c r="A20" s="21" t="s">
        <v>496</v>
      </c>
      <c r="B20" s="5">
        <v>4</v>
      </c>
      <c r="C20" s="5">
        <v>8</v>
      </c>
      <c r="D20" s="5">
        <v>12</v>
      </c>
      <c r="F20" s="21" t="s">
        <v>536</v>
      </c>
      <c r="G20" s="5">
        <v>55</v>
      </c>
    </row>
    <row r="21" spans="1:7" x14ac:dyDescent="0.35">
      <c r="A21" s="21" t="s">
        <v>497</v>
      </c>
      <c r="B21" s="5">
        <v>6</v>
      </c>
      <c r="C21" s="5">
        <v>13</v>
      </c>
      <c r="D21" s="5">
        <v>19</v>
      </c>
      <c r="F21" s="21" t="s">
        <v>497</v>
      </c>
      <c r="G21" s="5">
        <v>19</v>
      </c>
    </row>
    <row r="22" spans="1:7" x14ac:dyDescent="0.35">
      <c r="A22" s="21" t="s">
        <v>485</v>
      </c>
      <c r="B22" s="5">
        <v>6</v>
      </c>
      <c r="C22" s="5">
        <v>20</v>
      </c>
      <c r="D22" s="5">
        <v>26</v>
      </c>
      <c r="F22" s="21" t="s">
        <v>485</v>
      </c>
      <c r="G22" s="5">
        <v>26</v>
      </c>
    </row>
    <row r="23" spans="1:7" x14ac:dyDescent="0.35">
      <c r="A23" s="21" t="s">
        <v>509</v>
      </c>
      <c r="B23" s="5">
        <v>16</v>
      </c>
      <c r="C23" s="5">
        <v>41</v>
      </c>
      <c r="D23" s="5">
        <v>57</v>
      </c>
      <c r="F23" s="21" t="s">
        <v>509</v>
      </c>
      <c r="G23" s="5">
        <v>112</v>
      </c>
    </row>
    <row r="26" spans="1:7" x14ac:dyDescent="0.35">
      <c r="A26" s="32" t="s">
        <v>480</v>
      </c>
      <c r="B26" t="s">
        <v>512</v>
      </c>
    </row>
    <row r="27" spans="1:7" x14ac:dyDescent="0.35">
      <c r="A27" s="21" t="s">
        <v>516</v>
      </c>
      <c r="B27">
        <v>106</v>
      </c>
    </row>
    <row r="28" spans="1:7" x14ac:dyDescent="0.35">
      <c r="A28" s="21" t="s">
        <v>517</v>
      </c>
      <c r="B28">
        <v>6</v>
      </c>
    </row>
    <row r="29" spans="1:7" x14ac:dyDescent="0.35">
      <c r="A29" s="21" t="s">
        <v>509</v>
      </c>
      <c r="B29">
        <v>112</v>
      </c>
    </row>
    <row r="32" spans="1:7" x14ac:dyDescent="0.35">
      <c r="A32" s="32" t="s">
        <v>529</v>
      </c>
      <c r="B32" t="s">
        <v>518</v>
      </c>
    </row>
    <row r="33" spans="1:2" x14ac:dyDescent="0.35">
      <c r="A33" s="21" t="s">
        <v>195</v>
      </c>
      <c r="B33">
        <v>69</v>
      </c>
    </row>
    <row r="34" spans="1:2" x14ac:dyDescent="0.35">
      <c r="A34" s="21" t="s">
        <v>30</v>
      </c>
      <c r="B34">
        <v>55</v>
      </c>
    </row>
    <row r="35" spans="1:2" x14ac:dyDescent="0.35">
      <c r="A35" s="21" t="s">
        <v>90</v>
      </c>
      <c r="B35">
        <v>49</v>
      </c>
    </row>
    <row r="36" spans="1:2" x14ac:dyDescent="0.35">
      <c r="A36" s="21" t="s">
        <v>68</v>
      </c>
      <c r="B36">
        <v>44</v>
      </c>
    </row>
    <row r="37" spans="1:2" x14ac:dyDescent="0.35">
      <c r="A37" s="21" t="s">
        <v>44</v>
      </c>
      <c r="B37">
        <v>39</v>
      </c>
    </row>
    <row r="38" spans="1:2" x14ac:dyDescent="0.35">
      <c r="A38" s="21" t="s">
        <v>123</v>
      </c>
      <c r="B38">
        <v>36</v>
      </c>
    </row>
    <row r="39" spans="1:2" x14ac:dyDescent="0.35">
      <c r="A39" s="21" t="s">
        <v>115</v>
      </c>
      <c r="B39">
        <v>32</v>
      </c>
    </row>
    <row r="40" spans="1:2" x14ac:dyDescent="0.35">
      <c r="A40" s="21" t="s">
        <v>14</v>
      </c>
      <c r="B40">
        <v>24</v>
      </c>
    </row>
    <row r="41" spans="1:2" x14ac:dyDescent="0.35">
      <c r="A41" s="21" t="s">
        <v>112</v>
      </c>
      <c r="B41">
        <v>20</v>
      </c>
    </row>
    <row r="42" spans="1:2" x14ac:dyDescent="0.35">
      <c r="A42" s="21" t="s">
        <v>98</v>
      </c>
      <c r="B42">
        <v>20</v>
      </c>
    </row>
    <row r="47" spans="1:2" x14ac:dyDescent="0.35">
      <c r="A47" s="32" t="s">
        <v>333</v>
      </c>
      <c r="B47" t="s">
        <v>335</v>
      </c>
    </row>
    <row r="49" spans="1:2" x14ac:dyDescent="0.35">
      <c r="A49" s="32" t="s">
        <v>530</v>
      </c>
      <c r="B49" t="s">
        <v>526</v>
      </c>
    </row>
    <row r="50" spans="1:2" x14ac:dyDescent="0.35">
      <c r="A50" s="21" t="s">
        <v>126</v>
      </c>
      <c r="B50">
        <v>2</v>
      </c>
    </row>
    <row r="51" spans="1:2" x14ac:dyDescent="0.35">
      <c r="A51" s="21" t="s">
        <v>6</v>
      </c>
      <c r="B51">
        <v>2</v>
      </c>
    </row>
    <row r="52" spans="1:2" x14ac:dyDescent="0.35">
      <c r="A52" s="21" t="s">
        <v>56</v>
      </c>
      <c r="B52">
        <v>2</v>
      </c>
    </row>
    <row r="53" spans="1:2" x14ac:dyDescent="0.35">
      <c r="A53" s="21" t="s">
        <v>246</v>
      </c>
      <c r="B53">
        <v>1</v>
      </c>
    </row>
    <row r="54" spans="1:2" x14ac:dyDescent="0.35">
      <c r="A54" s="21" t="s">
        <v>121</v>
      </c>
      <c r="B54">
        <v>2</v>
      </c>
    </row>
    <row r="55" spans="1:2" x14ac:dyDescent="0.35">
      <c r="A55" s="21" t="s">
        <v>33</v>
      </c>
      <c r="B55">
        <v>2</v>
      </c>
    </row>
    <row r="56" spans="1:2" x14ac:dyDescent="0.35">
      <c r="A56" s="21" t="s">
        <v>118</v>
      </c>
      <c r="B56">
        <v>1</v>
      </c>
    </row>
    <row r="57" spans="1:2" x14ac:dyDescent="0.35">
      <c r="A57" s="21" t="s">
        <v>254</v>
      </c>
      <c r="B57">
        <v>1</v>
      </c>
    </row>
    <row r="58" spans="1:2" x14ac:dyDescent="0.35">
      <c r="A58" s="21" t="s">
        <v>296</v>
      </c>
      <c r="B58">
        <v>1</v>
      </c>
    </row>
    <row r="59" spans="1:2" x14ac:dyDescent="0.35">
      <c r="A59" s="21" t="s">
        <v>244</v>
      </c>
      <c r="B59">
        <v>1</v>
      </c>
    </row>
    <row r="60" spans="1:2" x14ac:dyDescent="0.35">
      <c r="A60" s="21" t="s">
        <v>60</v>
      </c>
      <c r="B60">
        <v>2</v>
      </c>
    </row>
    <row r="61" spans="1:2" x14ac:dyDescent="0.35">
      <c r="A61" s="21" t="s">
        <v>319</v>
      </c>
      <c r="B61">
        <v>1</v>
      </c>
    </row>
  </sheetData>
  <pageMargins left="0.7" right="0.7" top="0.75" bottom="0.75" header="0.3" footer="0.3"/>
  <pageSetup orientation="portrait"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D4BBF-B75C-4A70-8091-4E44B38CE327}">
  <sheetPr>
    <tabColor theme="3"/>
  </sheetPr>
  <dimension ref="A1:D59"/>
  <sheetViews>
    <sheetView workbookViewId="0">
      <selection activeCell="A2" sqref="A2:D2"/>
    </sheetView>
  </sheetViews>
  <sheetFormatPr defaultRowHeight="14.5" x14ac:dyDescent="0.35"/>
  <cols>
    <col min="1" max="2" width="29.08984375" customWidth="1"/>
    <col min="3" max="3" width="26" customWidth="1"/>
    <col min="4" max="4" width="84" customWidth="1"/>
  </cols>
  <sheetData>
    <row r="1" spans="1:4" ht="26" customHeight="1" x14ac:dyDescent="0.35">
      <c r="A1" s="61" t="s">
        <v>342</v>
      </c>
      <c r="B1" s="61"/>
      <c r="C1" s="61"/>
      <c r="D1" s="61"/>
    </row>
    <row r="2" spans="1:4" ht="29" customHeight="1" x14ac:dyDescent="0.35">
      <c r="A2" s="61" t="s">
        <v>343</v>
      </c>
      <c r="B2" s="61"/>
      <c r="C2" s="61"/>
      <c r="D2" s="61"/>
    </row>
    <row r="3" spans="1:4" x14ac:dyDescent="0.35">
      <c r="A3" s="1"/>
      <c r="B3" s="2"/>
      <c r="C3" s="1"/>
      <c r="D3" s="1"/>
    </row>
    <row r="4" spans="1:4" ht="29" customHeight="1" x14ac:dyDescent="0.35">
      <c r="A4" s="61" t="s">
        <v>344</v>
      </c>
      <c r="B4" s="61"/>
      <c r="C4" s="61"/>
      <c r="D4" s="61"/>
    </row>
    <row r="5" spans="1:4" x14ac:dyDescent="0.35">
      <c r="A5" s="8" t="s">
        <v>345</v>
      </c>
      <c r="B5" s="22" t="s">
        <v>346</v>
      </c>
      <c r="C5" s="15" t="s">
        <v>347</v>
      </c>
      <c r="D5" s="20" t="s">
        <v>348</v>
      </c>
    </row>
    <row r="6" spans="1:4" x14ac:dyDescent="0.35">
      <c r="A6" s="12" t="s">
        <v>349</v>
      </c>
      <c r="B6" s="16">
        <v>115</v>
      </c>
      <c r="C6" s="23">
        <v>112</v>
      </c>
      <c r="D6" s="9" t="s">
        <v>350</v>
      </c>
    </row>
    <row r="7" spans="1:4" x14ac:dyDescent="0.35">
      <c r="A7" s="12" t="s">
        <v>351</v>
      </c>
      <c r="B7" s="16">
        <v>6</v>
      </c>
      <c r="C7" s="23" t="s">
        <v>352</v>
      </c>
      <c r="D7" s="9" t="s">
        <v>353</v>
      </c>
    </row>
    <row r="8" spans="1:4" x14ac:dyDescent="0.35">
      <c r="A8" s="12" t="s">
        <v>354</v>
      </c>
      <c r="B8" s="16">
        <v>0</v>
      </c>
      <c r="C8" s="23">
        <v>0</v>
      </c>
      <c r="D8" s="9" t="s">
        <v>355</v>
      </c>
    </row>
    <row r="9" spans="1:4" x14ac:dyDescent="0.35">
      <c r="A9" s="13" t="s">
        <v>356</v>
      </c>
      <c r="B9" s="17">
        <v>109</v>
      </c>
      <c r="C9" s="24" t="s">
        <v>357</v>
      </c>
      <c r="D9" s="10" t="s">
        <v>358</v>
      </c>
    </row>
    <row r="10" spans="1:4" x14ac:dyDescent="0.35">
      <c r="A10" s="13" t="s">
        <v>359</v>
      </c>
      <c r="B10" s="17">
        <v>0</v>
      </c>
      <c r="C10" s="24">
        <v>0</v>
      </c>
      <c r="D10" s="10" t="s">
        <v>360</v>
      </c>
    </row>
    <row r="11" spans="1:4" x14ac:dyDescent="0.35">
      <c r="A11" s="13" t="s">
        <v>361</v>
      </c>
      <c r="B11" s="17">
        <v>1</v>
      </c>
      <c r="C11" s="24">
        <v>0</v>
      </c>
      <c r="D11" s="10" t="s">
        <v>397</v>
      </c>
    </row>
    <row r="12" spans="1:4" x14ac:dyDescent="0.35">
      <c r="A12" s="13" t="s">
        <v>362</v>
      </c>
      <c r="B12" s="17">
        <v>0</v>
      </c>
      <c r="C12" s="24">
        <v>0</v>
      </c>
      <c r="D12" s="10" t="s">
        <v>363</v>
      </c>
    </row>
    <row r="13" spans="1:4" x14ac:dyDescent="0.35">
      <c r="A13" s="13" t="s">
        <v>364</v>
      </c>
      <c r="B13" s="17">
        <v>1</v>
      </c>
      <c r="C13" s="24">
        <v>0</v>
      </c>
      <c r="D13" s="10" t="s">
        <v>398</v>
      </c>
    </row>
    <row r="14" spans="1:4" x14ac:dyDescent="0.35">
      <c r="A14" s="13" t="s">
        <v>365</v>
      </c>
      <c r="B14" s="17">
        <v>0</v>
      </c>
      <c r="C14" s="24">
        <v>0</v>
      </c>
      <c r="D14" s="10" t="s">
        <v>366</v>
      </c>
    </row>
    <row r="15" spans="1:4" x14ac:dyDescent="0.35">
      <c r="A15" s="13" t="s">
        <v>367</v>
      </c>
      <c r="B15" s="17">
        <v>0</v>
      </c>
      <c r="C15" s="24">
        <v>0</v>
      </c>
      <c r="D15" s="10" t="s">
        <v>368</v>
      </c>
    </row>
    <row r="16" spans="1:4" x14ac:dyDescent="0.35">
      <c r="A16" s="13" t="s">
        <v>369</v>
      </c>
      <c r="B16" s="17">
        <v>0</v>
      </c>
      <c r="C16" s="24">
        <v>0</v>
      </c>
      <c r="D16" s="10" t="s">
        <v>368</v>
      </c>
    </row>
    <row r="17" spans="1:4" x14ac:dyDescent="0.35">
      <c r="A17" s="13" t="s">
        <v>370</v>
      </c>
      <c r="B17" s="18">
        <v>0.01</v>
      </c>
      <c r="C17" s="25">
        <v>0.01</v>
      </c>
      <c r="D17" s="10" t="s">
        <v>371</v>
      </c>
    </row>
    <row r="18" spans="1:4" x14ac:dyDescent="0.35">
      <c r="A18" s="13" t="s">
        <v>372</v>
      </c>
      <c r="B18" s="18">
        <v>0.64</v>
      </c>
      <c r="C18" s="25">
        <v>0.64</v>
      </c>
      <c r="D18" s="10" t="s">
        <v>371</v>
      </c>
    </row>
    <row r="19" spans="1:4" x14ac:dyDescent="0.35">
      <c r="A19" s="13" t="s">
        <v>373</v>
      </c>
      <c r="B19" s="17">
        <v>58</v>
      </c>
      <c r="C19" s="24">
        <v>55</v>
      </c>
      <c r="D19" s="10" t="s">
        <v>374</v>
      </c>
    </row>
    <row r="20" spans="1:4" x14ac:dyDescent="0.35">
      <c r="A20" s="13" t="s">
        <v>375</v>
      </c>
      <c r="B20" s="21" t="s">
        <v>376</v>
      </c>
      <c r="C20" s="24">
        <v>0</v>
      </c>
      <c r="D20" s="10" t="s">
        <v>377</v>
      </c>
    </row>
    <row r="21" spans="1:4" x14ac:dyDescent="0.35">
      <c r="A21" s="13" t="s">
        <v>378</v>
      </c>
      <c r="B21" s="17">
        <v>-69</v>
      </c>
      <c r="C21" s="24">
        <v>1</v>
      </c>
      <c r="D21" s="10" t="s">
        <v>379</v>
      </c>
    </row>
    <row r="22" spans="1:4" x14ac:dyDescent="0.35">
      <c r="A22" s="13" t="s">
        <v>380</v>
      </c>
      <c r="B22" s="17">
        <v>-1</v>
      </c>
      <c r="C22" s="24">
        <v>69</v>
      </c>
      <c r="D22" s="10" t="s">
        <v>381</v>
      </c>
    </row>
    <row r="23" spans="1:4" x14ac:dyDescent="0.35">
      <c r="A23" s="13" t="s">
        <v>382</v>
      </c>
      <c r="B23" s="17">
        <v>58</v>
      </c>
      <c r="C23" s="24">
        <v>55</v>
      </c>
      <c r="D23" s="10" t="s">
        <v>383</v>
      </c>
    </row>
    <row r="24" spans="1:4" x14ac:dyDescent="0.35">
      <c r="A24" s="13" t="s">
        <v>384</v>
      </c>
      <c r="B24" s="17">
        <v>0</v>
      </c>
      <c r="C24" s="24">
        <v>0</v>
      </c>
      <c r="D24" s="10" t="s">
        <v>368</v>
      </c>
    </row>
    <row r="25" spans="1:4" x14ac:dyDescent="0.35">
      <c r="A25" s="13" t="s">
        <v>385</v>
      </c>
      <c r="B25" s="17">
        <v>0</v>
      </c>
      <c r="C25" s="24">
        <v>0</v>
      </c>
      <c r="D25" s="10" t="s">
        <v>368</v>
      </c>
    </row>
    <row r="26" spans="1:4" x14ac:dyDescent="0.35">
      <c r="A26" s="13" t="s">
        <v>386</v>
      </c>
      <c r="B26" s="17">
        <v>2</v>
      </c>
      <c r="C26" s="24">
        <v>2</v>
      </c>
      <c r="D26" s="10" t="s">
        <v>387</v>
      </c>
    </row>
    <row r="27" spans="1:4" x14ac:dyDescent="0.35">
      <c r="A27" s="13" t="s">
        <v>388</v>
      </c>
      <c r="B27" s="17">
        <v>5</v>
      </c>
      <c r="C27" s="24">
        <v>5</v>
      </c>
      <c r="D27" s="10" t="s">
        <v>387</v>
      </c>
    </row>
    <row r="28" spans="1:4" x14ac:dyDescent="0.35">
      <c r="A28" s="13" t="s">
        <v>341</v>
      </c>
      <c r="B28" s="17" t="s">
        <v>389</v>
      </c>
      <c r="C28" s="24">
        <v>0</v>
      </c>
      <c r="D28" s="10" t="s">
        <v>390</v>
      </c>
    </row>
    <row r="29" spans="1:4" x14ac:dyDescent="0.35">
      <c r="A29" s="13" t="s">
        <v>324</v>
      </c>
      <c r="B29" s="17">
        <v>0</v>
      </c>
      <c r="C29" s="24">
        <v>0</v>
      </c>
      <c r="D29" s="10" t="s">
        <v>391</v>
      </c>
    </row>
    <row r="30" spans="1:4" x14ac:dyDescent="0.35">
      <c r="A30" s="13" t="s">
        <v>337</v>
      </c>
      <c r="B30" s="17">
        <v>0</v>
      </c>
      <c r="C30" s="24">
        <v>0</v>
      </c>
      <c r="D30" s="10" t="s">
        <v>392</v>
      </c>
    </row>
    <row r="31" spans="1:4" x14ac:dyDescent="0.35">
      <c r="A31" s="13" t="s">
        <v>393</v>
      </c>
      <c r="B31" s="17" t="s">
        <v>357</v>
      </c>
      <c r="C31" s="24">
        <v>57</v>
      </c>
      <c r="D31" s="10" t="s">
        <v>394</v>
      </c>
    </row>
    <row r="32" spans="1:4" x14ac:dyDescent="0.35">
      <c r="A32" s="14" t="s">
        <v>395</v>
      </c>
      <c r="B32" s="19" t="s">
        <v>357</v>
      </c>
      <c r="C32" s="26">
        <v>55</v>
      </c>
      <c r="D32" s="11" t="s">
        <v>396</v>
      </c>
    </row>
    <row r="35" spans="1:4" x14ac:dyDescent="0.35">
      <c r="A35" s="62" t="s">
        <v>399</v>
      </c>
      <c r="B35" s="62"/>
      <c r="C35" s="62"/>
      <c r="D35" s="62"/>
    </row>
    <row r="36" spans="1:4" x14ac:dyDescent="0.35">
      <c r="A36" s="28" t="s">
        <v>325</v>
      </c>
      <c r="B36" s="27" t="s">
        <v>326</v>
      </c>
      <c r="C36" s="28" t="s">
        <v>327</v>
      </c>
      <c r="D36" s="28" t="s">
        <v>328</v>
      </c>
    </row>
    <row r="37" spans="1:4" x14ac:dyDescent="0.35">
      <c r="A37" s="13" t="s">
        <v>400</v>
      </c>
      <c r="B37" s="17" t="s">
        <v>401</v>
      </c>
      <c r="C37" s="13" t="s">
        <v>402</v>
      </c>
      <c r="D37" s="13" t="s">
        <v>403</v>
      </c>
    </row>
    <row r="38" spans="1:4" x14ac:dyDescent="0.35">
      <c r="A38" s="13" t="s">
        <v>404</v>
      </c>
      <c r="B38" s="17" t="s">
        <v>405</v>
      </c>
      <c r="C38" s="13" t="s">
        <v>406</v>
      </c>
      <c r="D38" s="13" t="s">
        <v>407</v>
      </c>
    </row>
    <row r="39" spans="1:4" x14ac:dyDescent="0.35">
      <c r="A39" s="13" t="s">
        <v>456</v>
      </c>
      <c r="B39" s="17" t="s">
        <v>408</v>
      </c>
      <c r="C39" s="13" t="s">
        <v>457</v>
      </c>
      <c r="D39" s="13" t="s">
        <v>409</v>
      </c>
    </row>
    <row r="40" spans="1:4" x14ac:dyDescent="0.35">
      <c r="A40" s="13" t="s">
        <v>410</v>
      </c>
      <c r="B40" s="17">
        <v>115</v>
      </c>
      <c r="C40" s="13" t="s">
        <v>458</v>
      </c>
      <c r="D40" s="13" t="s">
        <v>411</v>
      </c>
    </row>
    <row r="41" spans="1:4" x14ac:dyDescent="0.35">
      <c r="A41" s="13" t="s">
        <v>412</v>
      </c>
      <c r="B41" s="17">
        <v>1</v>
      </c>
      <c r="C41" s="13" t="s">
        <v>459</v>
      </c>
      <c r="D41" s="13" t="s">
        <v>413</v>
      </c>
    </row>
    <row r="42" spans="1:4" x14ac:dyDescent="0.35">
      <c r="A42" s="13" t="s">
        <v>414</v>
      </c>
      <c r="B42" s="17">
        <v>115</v>
      </c>
      <c r="C42" s="13" t="s">
        <v>460</v>
      </c>
      <c r="D42" s="13" t="s">
        <v>415</v>
      </c>
    </row>
    <row r="43" spans="1:4" x14ac:dyDescent="0.35">
      <c r="A43" s="13" t="s">
        <v>416</v>
      </c>
      <c r="B43" s="17">
        <v>115</v>
      </c>
      <c r="C43" s="13" t="s">
        <v>458</v>
      </c>
      <c r="D43" s="13" t="s">
        <v>417</v>
      </c>
    </row>
    <row r="44" spans="1:4" x14ac:dyDescent="0.35">
      <c r="A44" s="13" t="s">
        <v>418</v>
      </c>
      <c r="B44" s="17">
        <v>1</v>
      </c>
      <c r="C44" s="13" t="s">
        <v>461</v>
      </c>
      <c r="D44" s="13" t="s">
        <v>419</v>
      </c>
    </row>
    <row r="45" spans="1:4" x14ac:dyDescent="0.35">
      <c r="A45" s="13" t="s">
        <v>420</v>
      </c>
      <c r="B45" s="17">
        <v>115</v>
      </c>
      <c r="C45" s="13" t="s">
        <v>462</v>
      </c>
      <c r="D45" s="13" t="s">
        <v>421</v>
      </c>
    </row>
    <row r="46" spans="1:4" x14ac:dyDescent="0.35">
      <c r="A46" s="13" t="s">
        <v>422</v>
      </c>
      <c r="B46" s="17" t="s">
        <v>401</v>
      </c>
      <c r="C46" s="13" t="s">
        <v>423</v>
      </c>
      <c r="D46" s="13" t="s">
        <v>424</v>
      </c>
    </row>
    <row r="47" spans="1:4" x14ac:dyDescent="0.35">
      <c r="A47" s="13" t="s">
        <v>425</v>
      </c>
      <c r="B47" s="17" t="s">
        <v>401</v>
      </c>
      <c r="C47" s="13" t="s">
        <v>426</v>
      </c>
      <c r="D47" s="13" t="s">
        <v>427</v>
      </c>
    </row>
    <row r="48" spans="1:4" x14ac:dyDescent="0.35">
      <c r="A48" s="13" t="s">
        <v>375</v>
      </c>
      <c r="B48" s="17" t="s">
        <v>428</v>
      </c>
      <c r="C48" s="13" t="s">
        <v>429</v>
      </c>
      <c r="D48" s="13" t="s">
        <v>339</v>
      </c>
    </row>
    <row r="49" spans="1:4" x14ac:dyDescent="0.35">
      <c r="A49" s="13" t="s">
        <v>430</v>
      </c>
      <c r="B49" s="17" t="s">
        <v>431</v>
      </c>
      <c r="C49" s="13" t="s">
        <v>340</v>
      </c>
      <c r="D49" s="13" t="s">
        <v>432</v>
      </c>
    </row>
    <row r="50" spans="1:4" x14ac:dyDescent="0.35">
      <c r="A50" s="13" t="s">
        <v>329</v>
      </c>
      <c r="B50" s="17" t="s">
        <v>433</v>
      </c>
      <c r="C50" s="13" t="s">
        <v>463</v>
      </c>
      <c r="D50" s="13" t="s">
        <v>338</v>
      </c>
    </row>
    <row r="51" spans="1:4" x14ac:dyDescent="0.35">
      <c r="A51" s="13" t="s">
        <v>434</v>
      </c>
      <c r="B51" s="17" t="s">
        <v>431</v>
      </c>
      <c r="C51" s="13" t="s">
        <v>340</v>
      </c>
      <c r="D51" s="13" t="s">
        <v>435</v>
      </c>
    </row>
    <row r="52" spans="1:4" x14ac:dyDescent="0.35">
      <c r="A52" s="13" t="s">
        <v>436</v>
      </c>
      <c r="B52" s="17" t="s">
        <v>437</v>
      </c>
      <c r="C52" s="13" t="s">
        <v>438</v>
      </c>
      <c r="D52" s="13" t="s">
        <v>439</v>
      </c>
    </row>
    <row r="53" spans="1:4" x14ac:dyDescent="0.35">
      <c r="A53" s="13" t="s">
        <v>341</v>
      </c>
      <c r="B53" s="17" t="s">
        <v>440</v>
      </c>
      <c r="C53" s="13" t="s">
        <v>441</v>
      </c>
      <c r="D53" s="13" t="s">
        <v>442</v>
      </c>
    </row>
    <row r="54" spans="1:4" x14ac:dyDescent="0.35">
      <c r="A54" s="13" t="s">
        <v>443</v>
      </c>
      <c r="B54" s="17" t="s">
        <v>444</v>
      </c>
      <c r="C54" s="13" t="s">
        <v>445</v>
      </c>
      <c r="D54" s="13" t="s">
        <v>446</v>
      </c>
    </row>
    <row r="55" spans="1:4" x14ac:dyDescent="0.35">
      <c r="A55" s="13" t="s">
        <v>324</v>
      </c>
      <c r="B55" s="17">
        <v>0</v>
      </c>
      <c r="C55" s="13" t="s">
        <v>426</v>
      </c>
      <c r="D55" s="13" t="s">
        <v>447</v>
      </c>
    </row>
    <row r="56" spans="1:4" x14ac:dyDescent="0.35">
      <c r="A56" s="13" t="s">
        <v>448</v>
      </c>
      <c r="B56" s="17">
        <v>112</v>
      </c>
      <c r="C56" s="13" t="s">
        <v>464</v>
      </c>
      <c r="D56" s="13" t="s">
        <v>449</v>
      </c>
    </row>
    <row r="57" spans="1:4" x14ac:dyDescent="0.35">
      <c r="A57" s="13" t="s">
        <v>450</v>
      </c>
      <c r="B57" s="17">
        <v>57</v>
      </c>
      <c r="C57" s="13" t="s">
        <v>465</v>
      </c>
      <c r="D57" s="13" t="s">
        <v>451</v>
      </c>
    </row>
    <row r="58" spans="1:4" x14ac:dyDescent="0.35">
      <c r="A58" s="13" t="s">
        <v>452</v>
      </c>
      <c r="B58" s="17">
        <v>55</v>
      </c>
      <c r="C58" s="13" t="s">
        <v>466</v>
      </c>
      <c r="D58" s="13" t="s">
        <v>453</v>
      </c>
    </row>
    <row r="59" spans="1:4" x14ac:dyDescent="0.35">
      <c r="A59" s="14" t="s">
        <v>454</v>
      </c>
      <c r="B59" s="19">
        <v>112</v>
      </c>
      <c r="C59" s="14" t="s">
        <v>467</v>
      </c>
      <c r="D59" s="14" t="s">
        <v>455</v>
      </c>
    </row>
  </sheetData>
  <mergeCells count="4">
    <mergeCell ref="A1:D1"/>
    <mergeCell ref="A2:D2"/>
    <mergeCell ref="A4:D4"/>
    <mergeCell ref="A35:D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8134-A8D9-4292-B902-F449218E3EBB}">
  <sheetPr>
    <tabColor theme="4"/>
  </sheetPr>
  <dimension ref="A1:S61"/>
  <sheetViews>
    <sheetView showGridLines="0" tabSelected="1" zoomScale="80" zoomScaleNormal="80" workbookViewId="0">
      <selection activeCell="Y6" sqref="Y6"/>
    </sheetView>
  </sheetViews>
  <sheetFormatPr defaultRowHeight="14.5" x14ac:dyDescent="0.35"/>
  <cols>
    <col min="17" max="17" width="2.1796875" customWidth="1"/>
    <col min="18" max="18" width="12.7265625" hidden="1" customWidth="1"/>
    <col min="19" max="19" width="7.7265625" hidden="1" customWidth="1"/>
  </cols>
  <sheetData>
    <row r="1" spans="1:19" ht="40" customHeight="1" x14ac:dyDescent="0.7">
      <c r="A1" s="56"/>
      <c r="B1" s="57"/>
      <c r="C1" s="57"/>
      <c r="D1" s="57"/>
      <c r="E1" s="57"/>
      <c r="F1" s="57"/>
      <c r="G1" s="57"/>
      <c r="H1" s="57"/>
      <c r="I1" s="57"/>
      <c r="J1" s="57"/>
      <c r="K1" s="57"/>
      <c r="L1" s="57"/>
      <c r="M1" s="57"/>
      <c r="N1" s="58"/>
      <c r="O1" s="49"/>
      <c r="P1" s="49"/>
    </row>
    <row r="2" spans="1:19" x14ac:dyDescent="0.35">
      <c r="A2" s="49"/>
      <c r="B2" s="49"/>
      <c r="C2" s="49"/>
      <c r="D2" s="49"/>
      <c r="E2" s="49"/>
      <c r="F2" s="49"/>
      <c r="G2" s="49"/>
      <c r="H2" s="49"/>
      <c r="I2" s="49"/>
      <c r="J2" s="49"/>
      <c r="K2" s="49"/>
      <c r="L2" s="49"/>
      <c r="M2" s="49"/>
      <c r="N2" s="49"/>
      <c r="O2" s="49"/>
      <c r="P2" s="49"/>
      <c r="R2" s="45" t="s">
        <v>519</v>
      </c>
      <c r="S2" s="45" t="s">
        <v>520</v>
      </c>
    </row>
    <row r="3" spans="1:19" x14ac:dyDescent="0.35">
      <c r="A3" s="59"/>
      <c r="B3" s="59"/>
      <c r="C3" s="59"/>
      <c r="D3" s="59"/>
      <c r="E3" s="59"/>
      <c r="F3" s="59"/>
      <c r="G3" s="59"/>
      <c r="H3" s="59"/>
      <c r="I3" s="59"/>
      <c r="J3" s="59"/>
      <c r="K3" s="59"/>
      <c r="L3" s="59"/>
      <c r="M3" s="59"/>
      <c r="N3" s="59"/>
      <c r="O3" s="49"/>
      <c r="P3" s="49"/>
      <c r="R3" s="1" t="s">
        <v>521</v>
      </c>
      <c r="S3" s="1">
        <f>COUNTA(tblProducts[Product])</f>
        <v>112</v>
      </c>
    </row>
    <row r="4" spans="1:19" x14ac:dyDescent="0.35">
      <c r="A4" s="49"/>
      <c r="B4" s="49"/>
      <c r="C4" s="49"/>
      <c r="D4" s="49"/>
      <c r="E4" s="49"/>
      <c r="F4" s="49"/>
      <c r="G4" s="49"/>
      <c r="H4" s="49"/>
      <c r="I4" s="49"/>
      <c r="J4" s="49"/>
      <c r="K4" s="49"/>
      <c r="L4" s="49"/>
      <c r="M4" s="49"/>
      <c r="N4" s="49"/>
      <c r="O4" s="49"/>
      <c r="P4" s="49"/>
      <c r="R4" s="1" t="s">
        <v>522</v>
      </c>
      <c r="S4" s="46">
        <f>AVERAGE(tblProducts[Current Price])</f>
        <v>1186.8928571428571</v>
      </c>
    </row>
    <row r="5" spans="1:19" x14ac:dyDescent="0.35">
      <c r="A5" s="49"/>
      <c r="B5" s="49"/>
      <c r="C5" s="49"/>
      <c r="D5" s="49"/>
      <c r="E5" s="49"/>
      <c r="F5" s="49"/>
      <c r="G5" s="49"/>
      <c r="H5" s="49"/>
      <c r="I5" s="49"/>
      <c r="J5" s="49"/>
      <c r="K5" s="49"/>
      <c r="L5" s="49"/>
      <c r="M5" s="49"/>
      <c r="N5" s="49"/>
      <c r="O5" s="49"/>
      <c r="P5" s="49"/>
      <c r="R5" s="1" t="s">
        <v>502</v>
      </c>
      <c r="S5" s="48">
        <f>AVERAGE(tblProducts[Discount])</f>
        <v>0.3677678571428572</v>
      </c>
    </row>
    <row r="6" spans="1:19" x14ac:dyDescent="0.35">
      <c r="A6" s="49"/>
      <c r="B6" s="49"/>
      <c r="C6" s="49"/>
      <c r="D6" s="49"/>
      <c r="E6" s="49"/>
      <c r="F6" s="49"/>
      <c r="G6" s="49"/>
      <c r="H6" s="49"/>
      <c r="I6" s="49"/>
      <c r="J6" s="49"/>
      <c r="K6" s="49"/>
      <c r="L6" s="49"/>
      <c r="M6" s="49"/>
      <c r="N6" s="49"/>
      <c r="O6" s="49"/>
      <c r="P6" s="49"/>
      <c r="R6" s="1" t="s">
        <v>504</v>
      </c>
      <c r="S6" s="46">
        <f>AVERAGE(tblProducts[Rating])</f>
        <v>3.8894736842105253</v>
      </c>
    </row>
    <row r="7" spans="1:19" x14ac:dyDescent="0.35">
      <c r="A7" s="49"/>
      <c r="B7" s="49"/>
      <c r="C7" s="49"/>
      <c r="D7" s="49"/>
      <c r="E7" s="49"/>
      <c r="F7" s="49"/>
      <c r="G7" s="49"/>
      <c r="H7" s="49"/>
      <c r="I7" s="49"/>
      <c r="J7" s="49"/>
      <c r="K7" s="49"/>
      <c r="L7" s="49"/>
      <c r="M7" s="49"/>
      <c r="N7" s="49"/>
      <c r="O7" s="49"/>
      <c r="P7" s="49"/>
      <c r="R7" s="1" t="s">
        <v>503</v>
      </c>
      <c r="S7" s="47">
        <f>SUM(tblProducts[Review])</f>
        <v>723</v>
      </c>
    </row>
    <row r="8" spans="1:19" x14ac:dyDescent="0.35">
      <c r="A8" s="49"/>
      <c r="B8" s="49"/>
      <c r="C8" s="49"/>
      <c r="D8" s="49"/>
      <c r="E8" s="49"/>
      <c r="F8" s="49"/>
      <c r="G8" s="49"/>
      <c r="H8" s="49"/>
      <c r="I8" s="49"/>
      <c r="J8" s="49"/>
      <c r="K8" s="49"/>
      <c r="L8" s="49"/>
      <c r="M8" s="49"/>
      <c r="N8" s="49"/>
      <c r="O8" s="49"/>
      <c r="P8" s="49"/>
    </row>
    <row r="9" spans="1:19" x14ac:dyDescent="0.35">
      <c r="A9" s="49"/>
      <c r="B9" s="49"/>
      <c r="C9" s="49"/>
      <c r="D9" s="49"/>
      <c r="E9" s="49"/>
      <c r="F9" s="49"/>
      <c r="G9" s="49"/>
      <c r="H9" s="49"/>
      <c r="I9" s="49"/>
      <c r="J9" s="49"/>
      <c r="K9" s="49"/>
      <c r="L9" s="49"/>
      <c r="M9" s="49"/>
      <c r="N9" s="49"/>
      <c r="O9" s="49"/>
      <c r="P9" s="49"/>
    </row>
    <row r="10" spans="1:19" x14ac:dyDescent="0.35">
      <c r="A10" s="49"/>
      <c r="B10" s="49"/>
      <c r="C10" s="49"/>
      <c r="D10" s="49"/>
      <c r="E10" s="49"/>
      <c r="F10" s="49"/>
      <c r="G10" s="49"/>
      <c r="H10" s="49"/>
      <c r="I10" s="49"/>
      <c r="J10" s="49"/>
      <c r="K10" s="49"/>
      <c r="L10" s="49"/>
      <c r="M10" s="49"/>
      <c r="N10" s="49"/>
      <c r="O10" s="49"/>
      <c r="P10" s="49"/>
    </row>
    <row r="11" spans="1:19" x14ac:dyDescent="0.35">
      <c r="A11" s="49"/>
      <c r="B11" s="49"/>
      <c r="C11" s="49"/>
      <c r="D11" s="49"/>
      <c r="E11" s="49"/>
      <c r="F11" s="49"/>
      <c r="G11" s="49"/>
      <c r="H11" s="49"/>
      <c r="I11" s="49"/>
      <c r="J11" s="49"/>
      <c r="K11" s="49"/>
      <c r="L11" s="49"/>
      <c r="M11" s="49"/>
      <c r="N11" s="49"/>
      <c r="O11" s="49"/>
      <c r="P11" s="49"/>
    </row>
    <row r="12" spans="1:19" x14ac:dyDescent="0.35">
      <c r="A12" s="49"/>
      <c r="B12" s="49"/>
      <c r="C12" s="49"/>
      <c r="D12" s="49"/>
      <c r="E12" s="49"/>
      <c r="F12" s="49"/>
      <c r="G12" s="49"/>
      <c r="H12" s="49"/>
      <c r="I12" s="49"/>
      <c r="J12" s="49"/>
      <c r="K12" s="49"/>
      <c r="L12" s="49"/>
      <c r="M12" s="49"/>
      <c r="N12" s="49"/>
      <c r="O12" s="49"/>
      <c r="P12" s="49"/>
    </row>
    <row r="13" spans="1:19" x14ac:dyDescent="0.35">
      <c r="A13" s="49"/>
      <c r="B13" s="49"/>
      <c r="C13" s="49"/>
      <c r="D13" s="49"/>
      <c r="E13" s="49"/>
      <c r="F13" s="49"/>
      <c r="G13" s="49"/>
      <c r="H13" s="49"/>
      <c r="I13" s="49"/>
      <c r="J13" s="49"/>
      <c r="K13" s="49"/>
      <c r="L13" s="49"/>
      <c r="M13" s="49"/>
      <c r="N13" s="49"/>
      <c r="O13" s="49"/>
      <c r="P13" s="49"/>
    </row>
    <row r="14" spans="1:19" x14ac:dyDescent="0.35">
      <c r="A14" s="49"/>
      <c r="B14" s="49"/>
      <c r="C14" s="49"/>
      <c r="D14" s="49"/>
      <c r="E14" s="49"/>
      <c r="F14" s="49"/>
      <c r="G14" s="49"/>
      <c r="H14" s="49"/>
      <c r="I14" s="49"/>
      <c r="J14" s="49"/>
      <c r="K14" s="49"/>
      <c r="L14" s="49"/>
      <c r="M14" s="49"/>
      <c r="N14" s="49"/>
      <c r="O14" s="49"/>
      <c r="P14" s="49"/>
    </row>
    <row r="15" spans="1:19" x14ac:dyDescent="0.35">
      <c r="A15" s="49"/>
      <c r="B15" s="49"/>
      <c r="C15" s="49"/>
      <c r="D15" s="49"/>
      <c r="E15" s="49"/>
      <c r="F15" s="49"/>
      <c r="G15" s="49"/>
      <c r="H15" s="49"/>
      <c r="I15" s="49"/>
      <c r="J15" s="49"/>
      <c r="K15" s="49"/>
      <c r="L15" s="49"/>
      <c r="M15" s="49"/>
      <c r="N15" s="49"/>
      <c r="O15" s="49"/>
      <c r="P15" s="49"/>
    </row>
    <row r="16" spans="1:19" x14ac:dyDescent="0.35">
      <c r="A16" s="49"/>
      <c r="B16" s="49"/>
      <c r="C16" s="49"/>
      <c r="D16" s="49"/>
      <c r="E16" s="49"/>
      <c r="F16" s="49"/>
      <c r="G16" s="49"/>
      <c r="H16" s="49"/>
      <c r="I16" s="49"/>
      <c r="J16" s="49"/>
      <c r="K16" s="49"/>
      <c r="L16" s="49"/>
      <c r="M16" s="49"/>
      <c r="N16" s="49"/>
      <c r="O16" s="49"/>
      <c r="P16" s="49"/>
    </row>
    <row r="17" spans="1:16" x14ac:dyDescent="0.35">
      <c r="A17" s="49"/>
      <c r="B17" s="49"/>
      <c r="C17" s="49"/>
      <c r="D17" s="49"/>
      <c r="E17" s="49"/>
      <c r="F17" s="49"/>
      <c r="G17" s="49"/>
      <c r="H17" s="49"/>
      <c r="I17" s="49"/>
      <c r="J17" s="49"/>
      <c r="K17" s="49"/>
      <c r="L17" s="49"/>
      <c r="M17" s="49"/>
      <c r="N17" s="49"/>
      <c r="O17" s="49"/>
      <c r="P17" s="49"/>
    </row>
    <row r="18" spans="1:16" x14ac:dyDescent="0.35">
      <c r="A18" s="49"/>
      <c r="B18" s="49"/>
      <c r="C18" s="49"/>
      <c r="D18" s="49"/>
      <c r="E18" s="49"/>
      <c r="F18" s="49"/>
      <c r="G18" s="49"/>
      <c r="H18" s="49"/>
      <c r="I18" s="49"/>
      <c r="J18" s="49"/>
      <c r="K18" s="49"/>
      <c r="L18" s="49"/>
      <c r="M18" s="49"/>
      <c r="N18" s="49"/>
      <c r="O18" s="49"/>
      <c r="P18" s="49"/>
    </row>
    <row r="19" spans="1:16" x14ac:dyDescent="0.35">
      <c r="A19" s="49"/>
      <c r="B19" s="49"/>
      <c r="C19" s="49"/>
      <c r="D19" s="49"/>
      <c r="E19" s="49"/>
      <c r="F19" s="49"/>
      <c r="G19" s="49"/>
      <c r="H19" s="49"/>
      <c r="I19" s="49"/>
      <c r="J19" s="49"/>
      <c r="K19" s="49"/>
      <c r="L19" s="49"/>
      <c r="M19" s="49"/>
      <c r="N19" s="49"/>
      <c r="O19" s="49"/>
      <c r="P19" s="49"/>
    </row>
    <row r="20" spans="1:16" x14ac:dyDescent="0.35">
      <c r="A20" s="49"/>
      <c r="B20" s="49"/>
      <c r="C20" s="49"/>
      <c r="D20" s="49"/>
      <c r="E20" s="49"/>
      <c r="F20" s="49"/>
      <c r="G20" s="49"/>
      <c r="H20" s="49"/>
      <c r="I20" s="49"/>
      <c r="J20" s="49"/>
      <c r="K20" s="49"/>
      <c r="L20" s="49"/>
      <c r="M20" s="49"/>
      <c r="N20" s="49"/>
      <c r="O20" s="49"/>
      <c r="P20" s="49"/>
    </row>
    <row r="21" spans="1:16" x14ac:dyDescent="0.35">
      <c r="A21" s="49"/>
      <c r="B21" s="49"/>
      <c r="C21" s="49"/>
      <c r="D21" s="49"/>
      <c r="E21" s="49"/>
      <c r="F21" s="49"/>
      <c r="G21" s="49"/>
      <c r="H21" s="49"/>
      <c r="I21" s="49"/>
      <c r="J21" s="49"/>
      <c r="K21" s="49"/>
      <c r="L21" s="49"/>
      <c r="M21" s="49"/>
      <c r="N21" s="49"/>
      <c r="O21" s="49"/>
      <c r="P21" s="49"/>
    </row>
    <row r="22" spans="1:16" x14ac:dyDescent="0.35">
      <c r="A22" s="49"/>
      <c r="B22" s="49"/>
      <c r="C22" s="49"/>
      <c r="D22" s="49"/>
      <c r="E22" s="49"/>
      <c r="F22" s="49"/>
      <c r="G22" s="49"/>
      <c r="H22" s="49"/>
      <c r="I22" s="49"/>
      <c r="J22" s="49"/>
      <c r="K22" s="49"/>
      <c r="L22" s="49"/>
      <c r="M22" s="49"/>
      <c r="N22" s="49"/>
      <c r="O22" s="49"/>
      <c r="P22" s="49"/>
    </row>
    <row r="23" spans="1:16" x14ac:dyDescent="0.35">
      <c r="A23" s="49"/>
      <c r="B23" s="49"/>
      <c r="C23" s="49"/>
      <c r="D23" s="49"/>
      <c r="E23" s="49"/>
      <c r="F23" s="49"/>
      <c r="G23" s="49"/>
      <c r="H23" s="49"/>
      <c r="I23" s="49"/>
      <c r="J23" s="49"/>
      <c r="K23" s="49"/>
      <c r="L23" s="49"/>
      <c r="M23" s="49"/>
      <c r="N23" s="49"/>
      <c r="O23" s="49"/>
      <c r="P23" s="49"/>
    </row>
    <row r="24" spans="1:16" x14ac:dyDescent="0.35">
      <c r="A24" s="49"/>
      <c r="B24" s="49"/>
      <c r="C24" s="49"/>
      <c r="D24" s="49"/>
      <c r="E24" s="49"/>
      <c r="F24" s="49"/>
      <c r="G24" s="49"/>
      <c r="H24" s="49"/>
      <c r="I24" s="49"/>
      <c r="J24" s="49"/>
      <c r="K24" s="49"/>
      <c r="L24" s="49"/>
      <c r="M24" s="49"/>
      <c r="N24" s="49"/>
      <c r="O24" s="49"/>
      <c r="P24" s="49"/>
    </row>
    <row r="25" spans="1:16" x14ac:dyDescent="0.35">
      <c r="A25" s="49"/>
      <c r="B25" s="49"/>
      <c r="C25" s="49"/>
      <c r="D25" s="49"/>
      <c r="E25" s="49"/>
      <c r="F25" s="49"/>
      <c r="G25" s="49"/>
      <c r="H25" s="49"/>
      <c r="I25" s="49"/>
      <c r="J25" s="49"/>
      <c r="K25" s="49"/>
      <c r="L25" s="49"/>
      <c r="M25" s="49"/>
      <c r="N25" s="49"/>
      <c r="O25" s="49"/>
      <c r="P25" s="49"/>
    </row>
    <row r="26" spans="1:16" x14ac:dyDescent="0.35">
      <c r="A26" s="49"/>
      <c r="B26" s="49"/>
      <c r="C26" s="49"/>
      <c r="D26" s="49"/>
      <c r="E26" s="49"/>
      <c r="F26" s="49"/>
      <c r="G26" s="49"/>
      <c r="H26" s="49"/>
      <c r="I26" s="49"/>
      <c r="J26" s="49"/>
      <c r="K26" s="49"/>
      <c r="L26" s="49"/>
      <c r="M26" s="49"/>
      <c r="N26" s="49"/>
      <c r="O26" s="49"/>
      <c r="P26" s="49"/>
    </row>
    <row r="27" spans="1:16" x14ac:dyDescent="0.35">
      <c r="A27" s="49"/>
      <c r="B27" s="49"/>
      <c r="C27" s="49"/>
      <c r="D27" s="49"/>
      <c r="E27" s="49"/>
      <c r="F27" s="49"/>
      <c r="G27" s="49"/>
      <c r="H27" s="49"/>
      <c r="I27" s="49"/>
      <c r="K27" s="49"/>
      <c r="L27" s="49"/>
      <c r="M27" s="49"/>
      <c r="N27" s="49"/>
      <c r="O27" s="49"/>
      <c r="P27" s="49"/>
    </row>
    <row r="28" spans="1:16" x14ac:dyDescent="0.35">
      <c r="A28" s="49"/>
      <c r="B28" s="49"/>
      <c r="C28" s="49"/>
      <c r="D28" s="49"/>
      <c r="E28" s="49"/>
      <c r="F28" s="49"/>
      <c r="G28" s="49"/>
      <c r="H28" s="49"/>
      <c r="I28" s="49"/>
      <c r="J28" s="49"/>
      <c r="K28" s="49"/>
      <c r="L28" s="49"/>
      <c r="M28" s="49"/>
      <c r="N28" s="49"/>
      <c r="O28" s="49"/>
      <c r="P28" s="49"/>
    </row>
    <row r="29" spans="1:16" x14ac:dyDescent="0.35">
      <c r="A29" s="49"/>
      <c r="B29" s="49"/>
      <c r="C29" s="49"/>
      <c r="D29" s="49"/>
      <c r="E29" s="49"/>
      <c r="F29" s="49"/>
      <c r="G29" s="49"/>
      <c r="H29" s="49"/>
      <c r="I29" s="49"/>
      <c r="J29" s="49"/>
      <c r="K29" s="49"/>
      <c r="L29" s="49"/>
      <c r="M29" s="49"/>
      <c r="N29" s="49"/>
      <c r="O29" s="49"/>
      <c r="P29" s="49"/>
    </row>
    <row r="30" spans="1:16" x14ac:dyDescent="0.35">
      <c r="A30" s="49"/>
      <c r="B30" s="49"/>
      <c r="C30" s="49"/>
      <c r="D30" s="49"/>
      <c r="E30" s="49"/>
      <c r="F30" s="49"/>
      <c r="G30" s="49"/>
      <c r="H30" s="49"/>
      <c r="I30" s="49"/>
      <c r="J30" s="49"/>
      <c r="K30" s="49"/>
      <c r="L30" s="49"/>
      <c r="M30" s="49"/>
      <c r="N30" s="49"/>
      <c r="O30" s="49"/>
      <c r="P30" s="49"/>
    </row>
    <row r="31" spans="1:16" x14ac:dyDescent="0.35">
      <c r="A31" s="49"/>
      <c r="B31" s="49"/>
      <c r="C31" s="49"/>
      <c r="D31" s="49"/>
      <c r="E31" s="49"/>
      <c r="F31" s="49"/>
      <c r="G31" s="49"/>
      <c r="H31" s="49"/>
      <c r="I31" s="49"/>
      <c r="J31" s="49"/>
      <c r="K31" s="49"/>
      <c r="L31" s="49"/>
      <c r="M31" s="49"/>
      <c r="N31" s="49"/>
      <c r="O31" s="49"/>
      <c r="P31" s="49"/>
    </row>
    <row r="32" spans="1:16" x14ac:dyDescent="0.35">
      <c r="A32" s="49"/>
      <c r="B32" s="49"/>
      <c r="C32" s="49"/>
      <c r="D32" s="49"/>
      <c r="E32" s="49"/>
      <c r="F32" s="49"/>
      <c r="G32" s="49"/>
      <c r="H32" s="49"/>
      <c r="I32" s="49"/>
      <c r="J32" s="49"/>
      <c r="K32" s="49"/>
      <c r="L32" s="49"/>
      <c r="M32" s="49"/>
      <c r="N32" s="49"/>
      <c r="O32" s="49"/>
      <c r="P32" s="49"/>
    </row>
    <row r="33" spans="1:16" x14ac:dyDescent="0.35">
      <c r="A33" s="49"/>
      <c r="B33" s="49"/>
      <c r="C33" s="49"/>
      <c r="D33" s="49"/>
      <c r="E33" s="49"/>
      <c r="F33" s="49"/>
      <c r="G33" s="49"/>
      <c r="H33" s="49"/>
      <c r="I33" s="49"/>
      <c r="J33" s="49"/>
      <c r="K33" s="49"/>
      <c r="L33" s="49"/>
      <c r="M33" s="49"/>
      <c r="N33" s="49"/>
      <c r="O33" s="49"/>
      <c r="P33" s="49"/>
    </row>
    <row r="34" spans="1:16" x14ac:dyDescent="0.35">
      <c r="A34" s="49"/>
      <c r="B34" s="49"/>
      <c r="C34" s="49"/>
      <c r="D34" s="49"/>
      <c r="E34" s="49"/>
      <c r="F34" s="49"/>
      <c r="G34" s="49"/>
      <c r="H34" s="49"/>
      <c r="I34" s="49"/>
      <c r="J34" s="49"/>
      <c r="K34" s="49"/>
      <c r="L34" s="49"/>
      <c r="M34" s="49"/>
      <c r="N34" s="49"/>
      <c r="O34" s="49"/>
      <c r="P34" s="49"/>
    </row>
    <row r="35" spans="1:16" x14ac:dyDescent="0.35">
      <c r="A35" s="49"/>
      <c r="B35" s="49"/>
      <c r="C35" s="49"/>
      <c r="D35" s="49"/>
      <c r="E35" s="49"/>
      <c r="F35" s="49"/>
      <c r="G35" s="49"/>
      <c r="H35" s="49"/>
      <c r="I35" s="49"/>
      <c r="J35" s="49"/>
      <c r="K35" s="49"/>
      <c r="L35" s="49"/>
      <c r="M35" s="49"/>
      <c r="N35" s="49"/>
      <c r="O35" s="49"/>
      <c r="P35" s="49"/>
    </row>
    <row r="36" spans="1:16" x14ac:dyDescent="0.35">
      <c r="A36" s="49"/>
      <c r="B36" s="49"/>
      <c r="C36" s="49"/>
      <c r="D36" s="49"/>
      <c r="E36" s="49"/>
      <c r="F36" s="49"/>
      <c r="G36" s="49"/>
      <c r="H36" s="49"/>
      <c r="I36" s="49"/>
      <c r="J36" s="49"/>
      <c r="K36" s="49"/>
      <c r="L36" s="49"/>
      <c r="M36" s="49"/>
      <c r="N36" s="49"/>
      <c r="O36" s="49"/>
      <c r="P36" s="49"/>
    </row>
    <row r="37" spans="1:16" x14ac:dyDescent="0.35">
      <c r="A37" s="49"/>
      <c r="B37" s="49"/>
      <c r="C37" s="49"/>
      <c r="D37" s="49"/>
      <c r="E37" s="49"/>
      <c r="F37" s="49"/>
      <c r="G37" s="49"/>
      <c r="H37" s="49"/>
      <c r="I37" s="49"/>
      <c r="J37" s="49"/>
      <c r="K37" s="49"/>
      <c r="L37" s="49"/>
      <c r="M37" s="49"/>
      <c r="N37" s="49"/>
      <c r="O37" s="49"/>
      <c r="P37" s="49"/>
    </row>
    <row r="38" spans="1:16" x14ac:dyDescent="0.35">
      <c r="A38" s="49"/>
      <c r="B38" s="49"/>
      <c r="C38" s="49"/>
      <c r="D38" s="49"/>
      <c r="E38" s="49"/>
      <c r="F38" s="49"/>
      <c r="G38" s="49"/>
      <c r="H38" s="49"/>
      <c r="I38" s="49"/>
      <c r="J38" s="49"/>
      <c r="K38" s="49"/>
      <c r="L38" s="49"/>
      <c r="M38" s="49"/>
      <c r="N38" s="49"/>
      <c r="O38" s="49"/>
      <c r="P38" s="49"/>
    </row>
    <row r="39" spans="1:16" x14ac:dyDescent="0.35">
      <c r="A39" s="49"/>
      <c r="B39" s="49"/>
      <c r="C39" s="49"/>
      <c r="D39" s="49"/>
      <c r="E39" s="49"/>
      <c r="F39" s="49"/>
      <c r="G39" s="49"/>
      <c r="H39" s="49"/>
      <c r="I39" s="49"/>
      <c r="J39" s="49"/>
      <c r="K39" s="49"/>
      <c r="L39" s="49"/>
      <c r="M39" s="49"/>
      <c r="N39" s="49"/>
      <c r="O39" s="49"/>
      <c r="P39" s="49"/>
    </row>
    <row r="40" spans="1:16" x14ac:dyDescent="0.35">
      <c r="A40" s="49"/>
      <c r="B40" s="49"/>
      <c r="C40" s="49"/>
      <c r="D40" s="49"/>
      <c r="E40" s="49"/>
      <c r="F40" s="49"/>
      <c r="G40" s="49"/>
      <c r="H40" s="49"/>
      <c r="I40" s="49"/>
      <c r="J40" s="49"/>
      <c r="K40" s="49"/>
      <c r="L40" s="49"/>
      <c r="M40" s="49"/>
      <c r="N40" s="49"/>
      <c r="O40" s="49"/>
      <c r="P40" s="49"/>
    </row>
    <row r="41" spans="1:16" x14ac:dyDescent="0.35">
      <c r="A41" s="49"/>
      <c r="B41" s="49"/>
      <c r="C41" s="49"/>
      <c r="D41" s="49"/>
      <c r="E41" s="49"/>
      <c r="F41" s="49"/>
      <c r="G41" s="49"/>
      <c r="H41" s="49"/>
      <c r="I41" s="49"/>
      <c r="J41" s="49"/>
      <c r="K41" s="49"/>
      <c r="L41" s="49"/>
      <c r="M41" s="49"/>
      <c r="N41" s="49"/>
      <c r="O41" s="49"/>
      <c r="P41" s="49"/>
    </row>
    <row r="42" spans="1:16" x14ac:dyDescent="0.35">
      <c r="A42" s="49"/>
      <c r="B42" s="49"/>
      <c r="C42" s="49"/>
      <c r="D42" s="49"/>
      <c r="E42" s="49"/>
      <c r="F42" s="49"/>
      <c r="G42" s="49"/>
      <c r="H42" s="49"/>
      <c r="I42" s="49"/>
      <c r="J42" s="49"/>
      <c r="K42" s="49"/>
      <c r="L42" s="49"/>
      <c r="M42" s="49"/>
      <c r="N42" s="49"/>
      <c r="O42" s="49"/>
      <c r="P42" s="49"/>
    </row>
    <row r="43" spans="1:16" x14ac:dyDescent="0.35">
      <c r="A43" s="49"/>
      <c r="B43" s="49"/>
      <c r="C43" s="49"/>
      <c r="D43" s="49"/>
      <c r="E43" s="49"/>
      <c r="F43" s="49"/>
      <c r="G43" s="49"/>
      <c r="H43" s="49"/>
      <c r="I43" s="49"/>
      <c r="J43" s="49"/>
      <c r="K43" s="49"/>
      <c r="L43" s="49"/>
      <c r="M43" s="49"/>
      <c r="N43" s="49"/>
      <c r="O43" s="49"/>
      <c r="P43" s="49"/>
    </row>
    <row r="44" spans="1:16" x14ac:dyDescent="0.35">
      <c r="A44" s="49"/>
      <c r="B44" s="49"/>
      <c r="C44" s="49"/>
      <c r="D44" s="49"/>
      <c r="E44" s="49"/>
      <c r="F44" s="49"/>
      <c r="G44" s="49"/>
      <c r="H44" s="49"/>
      <c r="I44" s="49"/>
      <c r="J44" s="49"/>
      <c r="K44" s="49"/>
      <c r="L44" s="49"/>
      <c r="M44" s="49"/>
      <c r="N44" s="49"/>
      <c r="O44" s="49"/>
      <c r="P44" s="49"/>
    </row>
    <row r="45" spans="1:16" x14ac:dyDescent="0.35">
      <c r="A45" s="49"/>
      <c r="B45" s="49"/>
      <c r="C45" s="49"/>
      <c r="D45" s="49"/>
      <c r="E45" s="49"/>
      <c r="F45" s="49"/>
      <c r="G45" s="49"/>
      <c r="H45" s="49"/>
      <c r="I45" s="49"/>
      <c r="J45" s="49"/>
      <c r="K45" s="49"/>
      <c r="L45" s="49"/>
      <c r="M45" s="49"/>
      <c r="N45" s="49"/>
      <c r="O45" s="49"/>
      <c r="P45" s="49"/>
    </row>
    <row r="46" spans="1:16" x14ac:dyDescent="0.35">
      <c r="A46" s="49"/>
      <c r="B46" s="49"/>
      <c r="C46" s="49"/>
      <c r="D46" s="49"/>
      <c r="E46" s="49"/>
      <c r="F46" s="49"/>
      <c r="G46" s="49"/>
      <c r="H46" s="49"/>
      <c r="I46" s="49"/>
      <c r="J46" s="49"/>
      <c r="K46" s="49"/>
      <c r="L46" s="49"/>
      <c r="M46" s="49"/>
      <c r="N46" s="49"/>
      <c r="O46" s="49"/>
      <c r="P46" s="49"/>
    </row>
    <row r="47" spans="1:16" x14ac:dyDescent="0.35">
      <c r="A47" s="49"/>
      <c r="B47" s="49"/>
      <c r="C47" s="49"/>
      <c r="D47" s="49"/>
      <c r="E47" s="49"/>
      <c r="F47" s="49"/>
      <c r="G47" s="49"/>
      <c r="H47" s="49"/>
      <c r="I47" s="49"/>
      <c r="J47" s="49"/>
      <c r="K47" s="49"/>
      <c r="L47" s="49"/>
      <c r="M47" s="49"/>
      <c r="N47" s="49"/>
      <c r="O47" s="49"/>
      <c r="P47" s="49"/>
    </row>
    <row r="48" spans="1:16" x14ac:dyDescent="0.35">
      <c r="A48" s="49"/>
      <c r="B48" s="49"/>
      <c r="C48" s="49"/>
      <c r="D48" s="49"/>
      <c r="E48" s="49"/>
      <c r="F48" s="49"/>
      <c r="G48" s="49"/>
      <c r="H48" s="49"/>
      <c r="I48" s="49"/>
      <c r="J48" s="49"/>
      <c r="K48" s="49"/>
      <c r="L48" s="49"/>
      <c r="M48" s="49"/>
      <c r="N48" s="49"/>
      <c r="O48" s="49"/>
      <c r="P48" s="49"/>
    </row>
    <row r="49" spans="1:16" x14ac:dyDescent="0.35">
      <c r="A49" s="49"/>
      <c r="B49" s="49"/>
      <c r="C49" s="49"/>
      <c r="D49" s="49"/>
      <c r="E49" s="49"/>
      <c r="F49" s="49"/>
      <c r="G49" s="49"/>
      <c r="H49" s="49"/>
      <c r="I49" s="49"/>
      <c r="J49" s="49"/>
      <c r="K49" s="49"/>
      <c r="L49" s="49"/>
      <c r="M49" s="49"/>
      <c r="N49" s="49"/>
      <c r="O49" s="49"/>
      <c r="P49" s="49"/>
    </row>
    <row r="50" spans="1:16" x14ac:dyDescent="0.35">
      <c r="A50" s="49"/>
      <c r="B50" s="49"/>
      <c r="C50" s="49"/>
      <c r="D50" s="49"/>
      <c r="E50" s="49"/>
      <c r="F50" s="49"/>
      <c r="G50" s="49"/>
      <c r="H50" s="49"/>
      <c r="I50" s="49"/>
      <c r="J50" s="49"/>
      <c r="K50" s="49"/>
      <c r="L50" s="49"/>
      <c r="M50" s="49"/>
      <c r="N50" s="49"/>
      <c r="O50" s="49"/>
      <c r="P50" s="49"/>
    </row>
    <row r="51" spans="1:16" x14ac:dyDescent="0.35">
      <c r="A51" s="49"/>
      <c r="B51" s="49"/>
      <c r="C51" s="49"/>
      <c r="D51" s="49"/>
      <c r="E51" s="49"/>
      <c r="F51" s="49"/>
      <c r="G51" s="49"/>
      <c r="H51" s="49"/>
      <c r="I51" s="49"/>
      <c r="J51" s="49"/>
      <c r="K51" s="49"/>
      <c r="L51" s="49"/>
      <c r="M51" s="49"/>
      <c r="N51" s="49"/>
      <c r="O51" s="49"/>
      <c r="P51" s="49"/>
    </row>
    <row r="52" spans="1:16" x14ac:dyDescent="0.35">
      <c r="A52" s="49"/>
      <c r="B52" s="49"/>
      <c r="C52" s="49"/>
      <c r="D52" s="49"/>
      <c r="E52" s="49"/>
      <c r="F52" s="49"/>
      <c r="G52" s="49"/>
      <c r="H52" s="49"/>
      <c r="I52" s="49"/>
      <c r="J52" s="49"/>
      <c r="K52" s="49"/>
      <c r="L52" s="49"/>
      <c r="M52" s="49"/>
      <c r="N52" s="49"/>
      <c r="O52" s="49"/>
      <c r="P52" s="49"/>
    </row>
    <row r="53" spans="1:16" x14ac:dyDescent="0.35">
      <c r="A53" s="49"/>
      <c r="B53" s="49"/>
      <c r="C53" s="49"/>
      <c r="D53" s="49"/>
      <c r="E53" s="49"/>
      <c r="F53" s="49"/>
      <c r="G53" s="49"/>
      <c r="H53" s="49"/>
      <c r="I53" s="49"/>
      <c r="J53" s="49"/>
      <c r="K53" s="49"/>
      <c r="L53" s="49"/>
      <c r="M53" s="49"/>
      <c r="N53" s="49"/>
      <c r="O53" s="49"/>
      <c r="P53" s="49"/>
    </row>
    <row r="54" spans="1:16" x14ac:dyDescent="0.35">
      <c r="A54" s="49"/>
      <c r="B54" s="49"/>
      <c r="C54" s="49"/>
      <c r="D54" s="49"/>
      <c r="E54" s="49"/>
      <c r="F54" s="49"/>
      <c r="G54" s="49"/>
      <c r="H54" s="49"/>
      <c r="I54" s="49"/>
      <c r="J54" s="49"/>
      <c r="K54" s="49"/>
      <c r="L54" s="49"/>
      <c r="M54" s="49"/>
      <c r="N54" s="49"/>
      <c r="O54" s="49"/>
      <c r="P54" s="49"/>
    </row>
    <row r="55" spans="1:16" x14ac:dyDescent="0.35">
      <c r="A55" s="49"/>
      <c r="B55" s="49"/>
      <c r="C55" s="49"/>
      <c r="D55" s="49"/>
      <c r="E55" s="49"/>
      <c r="F55" s="49"/>
      <c r="G55" s="49"/>
      <c r="H55" s="49"/>
      <c r="I55" s="49"/>
      <c r="J55" s="49"/>
      <c r="K55" s="49"/>
      <c r="L55" s="49"/>
      <c r="M55" s="49"/>
      <c r="N55" s="49"/>
      <c r="O55" s="49"/>
      <c r="P55" s="49"/>
    </row>
    <row r="56" spans="1:16" x14ac:dyDescent="0.35">
      <c r="A56" s="49"/>
      <c r="B56" s="49"/>
      <c r="C56" s="49"/>
      <c r="D56" s="49"/>
      <c r="E56" s="49"/>
      <c r="F56" s="49"/>
      <c r="G56" s="49"/>
      <c r="H56" s="49"/>
      <c r="I56" s="49"/>
      <c r="J56" s="49"/>
      <c r="K56" s="49"/>
      <c r="L56" s="49"/>
      <c r="M56" s="49"/>
      <c r="N56" s="49"/>
      <c r="O56" s="49"/>
      <c r="P56" s="49"/>
    </row>
    <row r="57" spans="1:16" x14ac:dyDescent="0.35">
      <c r="A57" s="49"/>
      <c r="B57" s="49"/>
      <c r="C57" s="49"/>
      <c r="D57" s="49"/>
      <c r="E57" s="49"/>
      <c r="F57" s="49"/>
      <c r="G57" s="49"/>
      <c r="H57" s="49"/>
      <c r="I57" s="49"/>
      <c r="J57" s="49"/>
      <c r="K57" s="49"/>
      <c r="L57" s="49"/>
      <c r="M57" s="49"/>
      <c r="N57" s="49"/>
      <c r="O57" s="49"/>
      <c r="P57" s="49"/>
    </row>
    <row r="58" spans="1:16" x14ac:dyDescent="0.35">
      <c r="A58" s="49"/>
      <c r="B58" s="49"/>
      <c r="C58" s="49"/>
      <c r="D58" s="49"/>
      <c r="E58" s="49"/>
      <c r="F58" s="49"/>
      <c r="G58" s="49"/>
      <c r="H58" s="49"/>
      <c r="I58" s="49"/>
      <c r="J58" s="49"/>
      <c r="K58" s="49"/>
      <c r="L58" s="49"/>
      <c r="M58" s="49"/>
      <c r="N58" s="49"/>
      <c r="O58" s="49"/>
      <c r="P58" s="49"/>
    </row>
    <row r="59" spans="1:16" x14ac:dyDescent="0.35">
      <c r="A59" s="49"/>
      <c r="B59" s="49"/>
      <c r="C59" s="49"/>
      <c r="D59" s="49"/>
      <c r="E59" s="49"/>
      <c r="F59" s="49"/>
      <c r="G59" s="49"/>
      <c r="H59" s="49"/>
      <c r="I59" s="49"/>
      <c r="J59" s="49"/>
      <c r="K59" s="49"/>
      <c r="L59" s="49"/>
      <c r="M59" s="49"/>
      <c r="N59" s="49"/>
      <c r="O59" s="49"/>
      <c r="P59" s="49"/>
    </row>
    <row r="60" spans="1:16" x14ac:dyDescent="0.35">
      <c r="A60" s="50"/>
      <c r="B60" s="50"/>
      <c r="C60" s="50"/>
      <c r="D60" s="50"/>
      <c r="E60" s="50"/>
      <c r="F60" s="50"/>
      <c r="G60" s="50"/>
      <c r="H60" s="50"/>
      <c r="I60" s="50"/>
      <c r="J60" s="50"/>
      <c r="K60" s="50"/>
      <c r="L60" s="50"/>
      <c r="M60" s="50"/>
      <c r="N60" s="50"/>
      <c r="O60" s="50"/>
      <c r="P60" s="50"/>
    </row>
    <row r="61" spans="1:16" ht="37" x14ac:dyDescent="0.85">
      <c r="A61" s="60" t="s">
        <v>523</v>
      </c>
      <c r="B61" s="60"/>
      <c r="C61" s="60"/>
      <c r="D61" s="60"/>
      <c r="E61" s="60"/>
      <c r="F61" s="60"/>
      <c r="G61" s="60"/>
      <c r="H61" s="60"/>
      <c r="I61" s="60"/>
      <c r="J61" s="60"/>
      <c r="K61" s="60"/>
      <c r="L61" s="60"/>
      <c r="M61" s="60"/>
      <c r="N61" s="60"/>
      <c r="O61" s="60"/>
      <c r="P61" s="60"/>
    </row>
  </sheetData>
  <mergeCells count="3">
    <mergeCell ref="A1:N1"/>
    <mergeCell ref="A3:N3"/>
    <mergeCell ref="A61:P6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33C2C8-352C-4AE8-BAAA-6237740DFC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Raw_Data</vt:lpstr>
      <vt:lpstr>Cleaned_Data table</vt:lpstr>
      <vt:lpstr>Analysis</vt:lpstr>
      <vt:lpstr>Pivot Tables</vt:lpstr>
      <vt:lpstr>Data_Dictionary</vt:lpstr>
      <vt:lpstr>Dashboard</vt:lpstr>
      <vt:lpstr>Price_Q1</vt:lpstr>
      <vt:lpstr>Price_Q3</vt:lpstr>
      <vt:lpstr>Review_P75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Nimrod</dc:creator>
  <cp:lastModifiedBy>Jack Nimrod</cp:lastModifiedBy>
  <dcterms:created xsi:type="dcterms:W3CDTF">2026-08-27T18:05:13Z</dcterms:created>
  <dcterms:modified xsi:type="dcterms:W3CDTF">2026-09-05T23:17:22Z</dcterms:modified>
</cp:coreProperties>
</file>